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a80e6bf5604b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_ME" sheetId="1" r:id="R473329c74898465f"/>
    <x:sheet xmlns:r="http://schemas.openxmlformats.org/officeDocument/2006/relationships" name="01_DECISIONS" sheetId="2" r:id="R4e67116dd8a54760"/>
    <x:sheet xmlns:r="http://schemas.openxmlformats.org/officeDocument/2006/relationships" name="02_THREE_OPTIONS" sheetId="3" r:id="Rfa97ee375e5a4d41"/>
    <x:sheet xmlns:r="http://schemas.openxmlformats.org/officeDocument/2006/relationships" name="03_EPISODE_MODEL" sheetId="4" r:id="Rc83944f4147c4fa0"/>
    <x:sheet xmlns:r="http://schemas.openxmlformats.org/officeDocument/2006/relationships" name="04_ACTION_LIBRARY" sheetId="5" r:id="R14a23de7d4594007"/>
    <x:sheet xmlns:r="http://schemas.openxmlformats.org/officeDocument/2006/relationships" name="05_EVIDENCE_RULES" sheetId="6" r:id="Rc07a15121c514c15"/>
    <x:sheet xmlns:r="http://schemas.openxmlformats.org/officeDocument/2006/relationships" name="06_SOURCES" sheetId="7" r:id="Rf40775bb3ddc45b6"/>
    <x:sheet xmlns:r="http://schemas.openxmlformats.org/officeDocument/2006/relationships" name="07_VALIDATION_PLAN" sheetId="8" r:id="Rcf00cb576b4e451b"/>
    <x:sheet xmlns:r="http://schemas.openxmlformats.org/officeDocument/2006/relationships" name="08_EXEC_DECISION" sheetId="9" r:id="Rbcd6fa77f4b9492e"/>
    <x:sheet xmlns:r="http://schemas.openxmlformats.org/officeDocument/2006/relationships" name="09_M01_M26_FINAL" sheetId="10" r:id="R64d1eda633d6404d"/>
    <x:sheet xmlns:r="http://schemas.openxmlformats.org/officeDocument/2006/relationships" name="10_SCALE_MODEL" sheetId="11" r:id="R7e4e01453a4d4484"/>
    <x:sheet xmlns:r="http://schemas.openxmlformats.org/officeDocument/2006/relationships" name="11_EPISODE_ROUTE" sheetId="12" r:id="R499af0a606b94198"/>
    <x:sheet xmlns:r="http://schemas.openxmlformats.org/officeDocument/2006/relationships" name="12_PAPER_EVIDENCE" sheetId="13" r:id="R8dbd585cdbbb4daa"/>
    <x:sheet xmlns:r="http://schemas.openxmlformats.org/officeDocument/2006/relationships" name="13_BUILD_GATES" sheetId="14" r:id="Rc39beaca54b94808"/>
    <x:sheet xmlns:r="http://schemas.openxmlformats.org/officeDocument/2006/relationships" name="14_CHANGE_LOG" sheetId="15" r:id="R126b76d221a6455c"/>
  </x:sheets>
</x:workbook>
</file>

<file path=xl/sharedStrings.xml><?xml version="1.0" encoding="utf-8"?>
<x:sst xmlns:x="http://schemas.openxmlformats.org/spreadsheetml/2006/main">
  <x:si>
    <x:t xml:space="preserve">Remote Outpost M01–M26 Measurement Alternatives</x:t>
  </x:si>
  <x:si>
    <x:t xml:space="preserve">Research design comparison — 3 competing approaches per item; developmental proposals, not scoring or implementation authority.</x:t>
  </x:si>
  <x:si>
    <x:t xml:space="preserve">Decision</x:t>
  </x:si>
  <x:si>
    <x:t xml:space="preserve">Current position</x:t>
  </x:si>
  <x:si>
    <x:t xml:space="preserve">Battery</x:t>
  </x:si>
  <x:si>
    <x:t xml:space="preserve">26 developmental items: 12 BFI-2 Conscientiousness, 6 BESSI Information Processing, 5 Persistence Despite Difficulty, 3 Inappropriate Persistence. Exact questionnaire wording remains in Qualtrics.</x:t>
  </x:si>
  <x:si>
    <x:t xml:space="preserve">Key correction</x:t>
  </x:si>
  <x:si>
    <x:t xml:space="preserve">A broader exercise may activate several items, but each primary item has its own window, owned raw events and candidate indicator. One item may aggregate its own evidence across multiple rooms/occasions.</x:t>
  </x:si>
  <x:si>
    <x:t xml:space="preserve">What is prohibited</x:t>
  </x:si>
  <x:si>
    <x:t xml:space="preserve">The same raw action/event/variable cannot be primary evidence for multiple items. Whole-game movement, total completion time, “good player” composites and contaminated opportunities are not primary trait evidence.</x:t>
  </x:si>
  <x:si>
    <x:t xml:space="preserve">How to read</x:t>
  </x:si>
  <x:si>
    <x:t xml:space="preserve">01_DECISIONS gives the recommended approach. 02_THREE_OPTIONS contains all 78 alternatives and ratings. 03_EPISODE_MODEL shows a coherent shared-exercise architecture, not a final route.</x:t>
  </x:si>
  <x:si>
    <x:t xml:space="preserve">Rating scale</x:t>
  </x:si>
  <x:si>
    <x:t xml:space="preserve">1 = weak, 5 = strong. Scores compare design promise, not validated psychometric quality. Weighted score is a design aid only and is not a participant score.</x:t>
  </x:si>
  <x:si>
    <x:t xml:space="preserve">Time model</x:t>
  </x:si>
  <x:si>
    <x:t xml:space="preserve">Recommended item-active time = 1,055 seconds (17.58 min). With 465 seconds shared narrative/navigation/tutorial overhead, planned total = 25.33 min; 4.67 min remains under the 30-min cap. Human timing pilot is mandatory.</x:t>
  </x:si>
  <x:si>
    <x:t xml:space="preserve">Authority</x:t>
  </x:si>
  <x:si>
    <x:t xml:space="preserve">All variable/event names and calculations remain candidate concepts. No canonical schema, score, weight, cut score, norm or selection use is approved here.</x:t>
  </x:si>
  <x:si>
    <x:t xml:space="preserve">Research result</x:t>
  </x:si>
  <x:si>
    <x:t xml:space="preserve">The old plan is not discarded wholesale: 14 recommendations retain a legacy core but materially reframe it; 12 recommendations are new replacements. M08 remains the weakest behavioral analogue and should revert to questionnaire-primary if pilot convergence is poor.</x:t>
  </x:si>
  <x:si>
    <x:t xml:space="preserve">Recommended approach by item</x:t>
  </x:si>
  <x:si>
    <x:t xml:space="preserve">Recommendations reflect construct fidelity, work relevance, evidence independence, confound control and playable integration.</x:t>
  </x:si>
  <x:si>
    <x:t xml:space="preserve">ID</x:t>
  </x:si>
  <x:si>
    <x:t xml:space="preserve">Instrument</x:t>
  </x:si>
  <x:si>
    <x:t xml:space="preserve">Facet</x:t>
  </x:si>
  <x:si>
    <x:t xml:space="preserve">Exact item wording</x:t>
  </x:si>
  <x:si>
    <x:t xml:space="preserve">Recommended approach</x:t>
  </x:si>
  <x:si>
    <x:t xml:space="preserve">Origin</x:t>
  </x:si>
  <x:si>
    <x:t xml:space="preserve">Broad episode</x:t>
  </x:si>
  <x:si>
    <x:t xml:space="preserve">Observation structure</x:t>
  </x:si>
  <x:si>
    <x:t xml:space="preserve">Active sec</x:t>
  </x:si>
  <x:si>
    <x:t xml:space="preserve">What this improves</x:t>
  </x:si>
  <x:si>
    <x:t xml:space="preserve">Main remaining threat</x:t>
  </x:si>
  <x:si>
    <x:t xml:space="preserve">Pilot decision gate</x:t>
  </x:si>
  <x:si>
    <x:t xml:space="preserve">Time summary</x:t>
  </x:si>
  <x:si>
    <x:t xml:space="preserve">Seconds</x:t>
  </x:si>
  <x:si>
    <x:t xml:space="preserve">M01</x:t>
  </x:si>
  <x:si>
    <x:t xml:space="preserve">BFI-2 Conscientiousness</x:t>
  </x:si>
  <x:si>
    <x:t xml:space="preserve">Organization</x:t>
  </x:si>
  <x:si>
    <x:t xml:space="preserve">Is systematic, likes to keep things in order.</x:t>
  </x:si>
  <x:si>
    <x:t xml:space="preserve">Storm in-basket workflow reconstruction</x:t>
  </x:si>
  <x:si>
    <x:t xml:space="preserve">New replacement</x:t>
  </x:si>
  <x:si>
    <x:t xml:space="preserve">Incident Handover</x:t>
  </x:si>
  <x:si>
    <x:t xml:space="preserve">One item-local planning window; edits and the first three transitions only. May sit in the same desk episode as M05/M12/M14, but none of their events enter M01.</x:t>
  </x:si>
  <x:si>
    <x:t xml:space="preserve">stronger work relevance than abstract sorting while preserving the old dependency-board insight.</x:t>
  </x:si>
  <x:si>
    <x:t xml:space="preserve">Reading and planning ability; strong instructions may suppress trait expression; interface literacy.</x:t>
  </x:si>
  <x:si>
    <x:t xml:space="preserve">Advance only after cognitive interview, usability, fairness and convergent/discriminant pilot evidence.</x:t>
  </x:si>
  <x:si>
    <x:t xml:space="preserve">PROPOSED</x:t>
  </x:si>
  <x:si>
    <x:t xml:space="preserve">Recommended item-active</x:t>
  </x:si>
  <x:si>
    <x:t xml:space="preserve">M02</x:t>
  </x:si>
  <x:si>
    <x:t xml:space="preserve">Tends to be disorganized.</x:t>
  </x:si>
  <x:si>
    <x:t xml:space="preserve">Open-workspace case organization</x:t>
  </x:si>
  <x:si>
    <x:t xml:space="preserve">One M02-only workspace; broad desk episode may also host M01 but with separate objects and window.</x:t>
  </x:si>
  <x:si>
    <x:t xml:space="preserve">measures organization of work state, not merely matching objects to bins.</x:t>
  </x:si>
  <x:si>
    <x:t xml:space="preserve">Working memory, interface mastery, categorization ability.</x:t>
  </x:si>
  <x:si>
    <x:t xml:space="preserve">Shared overhead</x:t>
  </x:si>
  <x:si>
    <x:t xml:space="preserve">M03</x:t>
  </x:si>
  <x:si>
    <x:t xml:space="preserve">Keeps things neat and tidy.</x:t>
  </x:si>
  <x:si>
    <x:t xml:space="preserve">Repeated workstation reset</x:t>
  </x:si>
  <x:si>
    <x:t xml:space="preserve">Workshop + Sample Bench</x:t>
  </x:si>
  <x:si>
    <x:t xml:space="preserve">Two matched M03 occasions in different locations; only M03 stow/close events aggregate.</x:t>
  </x:si>
  <x:si>
    <x:t xml:space="preserve">repeated occasions better represent “keeps” than one conspicuous tidy task.</x:t>
  </x:si>
  <x:si>
    <x:t xml:space="preserve">Demand characteristics, cue salience and matching ability.</x:t>
  </x:si>
  <x:si>
    <x:t xml:space="preserve">Planned total</x:t>
  </x:si>
  <x:si>
    <x:t xml:space="preserve">M04</x:t>
  </x:si>
  <x:si>
    <x:t xml:space="preserve">Leaves a mess, doesn’t clean up.</x:t>
  </x:si>
  <x:si>
    <x:t xml:space="preserve">Self-generated bench debris</x:t>
  </x:si>
  <x:si>
    <x:t xml:space="preserve">Retain/reframe legacy core</x:t>
  </x:si>
  <x:si>
    <x:t xml:space="preserve">Sample Processing</x:t>
  </x:si>
  <x:si>
    <x:t xml:space="preserve">Single M04 cleanup window beginning after task feedback.</x:t>
  </x:si>
  <x:si>
    <x:t xml:space="preserve">strongest direct analogue if cleanup is not announced as a test.</x:t>
  </x:si>
  <x:si>
    <x:t xml:space="preserve">Cue salience, perceived norms, demand characteristics.</x:t>
  </x:si>
  <x:si>
    <x:t xml:space="preserve">Planned minutes</x:t>
  </x:si>
  <x:si>
    <x:t xml:space="preserve">M05</x:t>
  </x:si>
  <x:si>
    <x:t xml:space="preserve">Productiveness</x:t>
  </x:si>
  <x:si>
    <x:t xml:space="preserve">Has difficulty getting started on tasks.</x:t>
  </x:si>
  <x:si>
    <x:t xml:space="preserve">Self-initiated visible fault response</x:t>
  </x:si>
  <x:si>
    <x:t xml:space="preserve">Arrival After Storm</x:t>
  </x:si>
  <x:si>
    <x:t xml:space="preserve">Single M05 window from comprehension to first task-directed action; scene-load and movement time excluded.</x:t>
  </x:si>
  <x:si>
    <x:t xml:space="preserve">weaker situational pressure than a flashing “start now” button, allowing trait expression.</x:t>
  </x:si>
  <x:si>
    <x:t xml:space="preserve">Caution, uncertainty, motor speed; “difficulty starting” is broad and one occasion is narrow.</x:t>
  </x:si>
  <x:si>
    <x:t xml:space="preserve">Minutes below cap</x:t>
  </x:si>
  <x:si>
    <x:t xml:space="preserve">M06</x:t>
  </x:si>
  <x:si>
    <x:t xml:space="preserve">Is efficient, gets things done.</x:t>
  </x:si>
  <x:si>
    <x:t xml:space="preserve">Practiced pseudo-command dispatch</x:t>
  </x:si>
  <x:si>
    <x:t xml:space="preserve">Operations Console</x:t>
  </x:si>
  <x:si>
    <x:t xml:space="preserve">One M06-only production run.</x:t>
  </x:si>
  <x:si>
    <x:t xml:space="preserve">adult work-simulation, quality and efficiency observable together without coding knowledge.</x:t>
  </x:si>
  <x:si>
    <x:t xml:space="preserve">Working memory and interface fluency; ratio formula needs pilot calibration.</x:t>
  </x:si>
  <x:si>
    <x:t xml:space="preserve">M07</x:t>
  </x:si>
  <x:si>
    <x:t xml:space="preserve">Is persistent, works until the task is finished.</x:t>
  </x:si>
  <x:si>
    <x:t xml:space="preserve">Routine calibration project with return</x:t>
  </x:si>
  <x:si>
    <x:t xml:space="preserve">Workshop Restoration</x:t>
  </x:si>
  <x:si>
    <x:t xml:space="preserve">One M07 project spanning two locations only if return is natural; all project events remain M07-owned.</x:t>
  </x:si>
  <x:si>
    <x:t xml:space="preserve">preserves distinction between general finish-through and PDD.</x:t>
  </x:si>
  <x:si>
    <x:t xml:space="preserve">Interest, ability and fatigue.</x:t>
  </x:si>
  <x:si>
    <x:t xml:space="preserve">M08</x:t>
  </x:si>
  <x:si>
    <x:t xml:space="preserve">Tends to be lazy.</x:t>
  </x:si>
  <x:si>
    <x:t xml:space="preserve">Repeated low-burden useful-job engagement</x:t>
  </x:si>
  <x:si>
    <x:t xml:space="preserve">Across shift downtime</x:t>
  </x:si>
  <x:si>
    <x:t xml:space="preserve">Two M08-only opportunity windows; starts/completions aggregate only within M08.</x:t>
  </x:si>
  <x:si>
    <x:t xml:space="preserve">best available analogue, but keep questionnaire-primary if pilot convergence is weak.</x:t>
  </x:si>
  <x:si>
    <x:t xml:space="preserve">Fatigue, boredom, reward preference and demand characteristics.</x:t>
  </x:si>
  <x:si>
    <x:t xml:space="preserve">Retain as primary only if convergence and test–retest are adequate; otherwise questionnaire-primary.</x:t>
  </x:si>
  <x:si>
    <x:t xml:space="preserve">M09</x:t>
  </x:si>
  <x:si>
    <x:t xml:space="preserve">Responsibility</x:t>
  </x:si>
  <x:si>
    <x:t xml:space="preserve">Is dependable, steady.</x:t>
  </x:si>
  <x:si>
    <x:t xml:space="preserve">Repeated monitoring duty</x:t>
  </x:si>
  <x:si>
    <x:t xml:space="preserve">Across shift</x:t>
  </x:si>
  <x:si>
    <x:t xml:space="preserve">Two M09 checkpoints across different episodes; only due/fulfilled events aggregate.</x:t>
  </x:si>
  <x:si>
    <x:t xml:space="preserve">repeated item-local occasions operationalize “steady” better than one act.</x:t>
  </x:si>
  <x:si>
    <x:t xml:space="preserve">Prospective memory, route knowledge and interruption exposure.</x:t>
  </x:si>
  <x:si>
    <x:t xml:space="preserve">M10</x:t>
  </x:si>
  <x:si>
    <x:t xml:space="preserve">Is reliable, can always be counted on.</x:t>
  </x:si>
  <x:si>
    <x:t xml:space="preserve">Explicit NPC promise after interruption</x:t>
  </x:si>
  <x:si>
    <x:t xml:space="preserve">Quartermaster to Engineer</x:t>
  </x:si>
  <x:si>
    <x:t xml:space="preserve">One M10 promise window; interruption events are context only.</x:t>
  </x:si>
  <x:si>
    <x:t xml:space="preserve">direct bounded analogue of being countable-on, distinct from M09 steadiness.</x:t>
  </x:si>
  <x:si>
    <x:t xml:space="preserve">Memory, navigation and social desirability.</x:t>
  </x:si>
  <x:si>
    <x:t xml:space="preserve">M11</x:t>
  </x:si>
  <x:si>
    <x:t xml:space="preserve">Sometimes behaves irresponsibly.</x:t>
  </x:si>
  <x:si>
    <x:t xml:space="preserve">Acknowledged sample-seal obligation</x:t>
  </x:si>
  <x:si>
    <x:t xml:space="preserve">Sample Transfer</x:t>
  </x:si>
  <x:si>
    <x:t xml:space="preserve">One M11 window.</x:t>
  </x:si>
  <x:si>
    <x:t xml:space="preserve">narrow but observable; never infer broad irresponsibility without questionnaire validation.</x:t>
  </x:si>
  <x:si>
    <x:t xml:space="preserve">Risk interpretation and moral framing.</x:t>
  </x:si>
  <x:si>
    <x:t xml:space="preserve">M12</x:t>
  </x:si>
  <x:si>
    <x:t xml:space="preserve">Can be somewhat careless.</x:t>
  </x:si>
  <x:si>
    <x:t xml:space="preserve">Standardized quality-control error</x:t>
  </x:si>
  <x:si>
    <x:t xml:space="preserve">Workshop Quality Bench</x:t>
  </x:si>
  <x:si>
    <x:t xml:space="preserve">One M12 window.</x:t>
  </x:si>
  <x:si>
    <x:t xml:space="preserve">direct preventable-carelessness analogue with controllable entry state.</x:t>
  </x:si>
  <x:si>
    <x:t xml:space="preserve">Visual acuity, domain knowledge, cautiousness.</x:t>
  </x:si>
  <x:si>
    <x:t xml:space="preserve">M13</x:t>
  </x:si>
  <x:si>
    <x:t xml:space="preserve">BESSI</x:t>
  </x:si>
  <x:si>
    <x:t xml:space="preserve">Information Processing</x:t>
  </x:si>
  <x:si>
    <x:t xml:space="preserve">Solve puzzles.</x:t>
  </x:si>
  <x:si>
    <x:t xml:space="preserve">Signal-lattice / pipe-network puzzle</x:t>
  </x:si>
  <x:si>
    <x:t xml:space="preserve">One M13 puzzle window; diagnostic and persistence events excluded.</x:t>
  </x:si>
  <x:si>
    <x:t xml:space="preserve">true manipulable minigame with explicit constraints.</x:t>
  </x:si>
  <x:si>
    <x:t xml:space="preserve">Visuospatial skill and puzzle familiarity are part of task but narrow generalization.</x:t>
  </x:si>
  <x:si>
    <x:t xml:space="preserve">M14</x:t>
  </x:si>
  <x:si>
    <x:t xml:space="preserve">Handle a lot of information.</x:t>
  </x:si>
  <x:si>
    <x:t xml:space="preserve">Multi-source incident in-basket</x:t>
  </x:si>
  <x:si>
    <x:t xml:space="preserve">One M14-owned source set; broad desk episode may also contain M01 but no shared actions.</x:t>
  </x:si>
  <x:si>
    <x:t xml:space="preserve">established work-simulation family and direct “many information elements” demand.</x:t>
  </x:si>
  <x:si>
    <x:t xml:space="preserve">Reading, interface navigation and strategy; may partly measure M15 integration.</x:t>
  </x:si>
  <x:si>
    <x:t xml:space="preserve">M15</x:t>
  </x:si>
  <x:si>
    <x:t xml:space="preserve">Make sense of complex information.</x:t>
  </x:si>
  <x:si>
    <x:t xml:space="preserve">Causal systems model builder</x:t>
  </x:si>
  <x:si>
    <x:t xml:space="preserve">Diagnostics Laboratory</x:t>
  </x:si>
  <x:si>
    <x:t xml:space="preserve">One M15 window; M14 sources are not reused—use a matched independent case.</x:t>
  </x:si>
  <x:si>
    <x:t xml:space="preserve">complex information means relations, not simply quantity.</x:t>
  </x:si>
  <x:si>
    <x:t xml:space="preserve">General reasoning and diagram literacy.</x:t>
  </x:si>
  <x:si>
    <x:t xml:space="preserve">M16</x:t>
  </x:si>
  <x:si>
    <x:t xml:space="preserve">Process new information.</x:t>
  </x:si>
  <x:si>
    <x:t xml:space="preserve">Novel protocol classification</x:t>
  </x:si>
  <x:si>
    <x:t xml:space="preserve">One M16 window.</x:t>
  </x:si>
  <x:si>
    <x:t xml:space="preserve">direct new-information processing with short administration.</x:t>
  </x:si>
  <x:si>
    <x:t xml:space="preserve">Reading and prior analogous knowledge.</x:t>
  </x:si>
  <x:si>
    <x:t xml:space="preserve">M17</x:t>
  </x:si>
  <x:si>
    <x:t xml:space="preserve">Learn things quickly.</x:t>
  </x:si>
  <x:si>
    <x:t xml:space="preserve">Demonstration–practice–transfer trainer</x:t>
  </x:si>
  <x:si>
    <x:t xml:space="preserve">Equipment Trainer</x:t>
  </x:si>
  <x:si>
    <x:t xml:space="preserve">One M17 learning sequence; first transfer performance is primary, time is secondary.</x:t>
  </x:si>
  <x:si>
    <x:t xml:space="preserve">learning is demonstrated by transfer, not mere recall or speed.</x:t>
  </x:si>
  <x:si>
    <x:t xml:space="preserve">Motor sequence ability and prior analogous experience.</x:t>
  </x:si>
  <x:si>
    <x:t xml:space="preserve">M18</x:t>
  </x:si>
  <x:si>
    <x:t xml:space="preserve">Find logical solutions to problems.</x:t>
  </x:si>
  <x:si>
    <x:t xml:space="preserve">Diagnostic hypothesis testing</x:t>
  </x:si>
  <x:si>
    <x:t xml:space="preserve">One M18-owned case; not the M14/M15 data set.</x:t>
  </x:si>
  <x:si>
    <x:t xml:space="preserve">directly warrants logical-solution inference.</x:t>
  </x:si>
  <x:si>
    <x:t xml:space="preserve">General reasoning and search strategy.</x:t>
  </x:si>
  <x:si>
    <x:t xml:space="preserve">M19</x:t>
  </x:si>
  <x:si>
    <x:t xml:space="preserve">Persistence Despite Difficulty</x:t>
  </x:si>
  <x:si>
    <x:t xml:space="preserve">PDD</x:t>
  </x:si>
  <x:si>
    <x:t xml:space="preserve">I keep on going when the going gets tough.</x:t>
  </x:si>
  <x:si>
    <x:t xml:space="preserve">Progressive valve regulation</x:t>
  </x:si>
  <x:si>
    <x:t xml:space="preserve">Exterior Recovery</x:t>
  </x:si>
  <x:si>
    <x:t xml:space="preserve">One M19 difficulty-onset window; attempts owned only by M19.</x:t>
  </x:si>
  <x:si>
    <x:t xml:space="preserve">preserves useful effort and avoids zero-utility contamination.</x:t>
  </x:si>
  <x:si>
    <x:t xml:space="preserve">Ability, perceived attainability, task interest and frustration tolerance.</x:t>
  </x:si>
  <x:si>
    <x:t xml:space="preserve">M20</x:t>
  </x:si>
  <x:si>
    <x:t xml:space="preserve">People describe me as someone who can stick at a task, even when it gets difficult.</x:t>
  </x:si>
  <x:si>
    <x:t xml:space="preserve">Longitudinal antenna restoration</x:t>
  </x:si>
  <x:si>
    <x:t xml:space="preserve">Yard + Return Handover</x:t>
  </x:si>
  <x:si>
    <x:t xml:space="preserve">One M20 project with two item-local windows across locations; all project events remain M20-owned.</x:t>
  </x:si>
  <x:si>
    <x:t xml:space="preserve">captures “stick at a task” over time rather than duplicating M19 momentary toughness.</x:t>
  </x:si>
  <x:si>
    <x:t xml:space="preserve">Prospective memory, navigation, project interest and ability.</x:t>
  </x:si>
  <x:si>
    <x:t xml:space="preserve">M21</x:t>
  </x:si>
  <x:si>
    <x:t xml:space="preserve">Even if it’s difficult to understand, I will read an entire book until I “get” it.</x:t>
  </x:si>
  <x:si>
    <x:t xml:space="preserve">Technical manual to novel repair</x:t>
  </x:si>
  <x:si>
    <x:t xml:space="preserve">Field Manual Station</x:t>
  </x:si>
  <x:si>
    <x:t xml:space="preserve">One M21 reading/application window; manual actions not used by M14–M18.</x:t>
  </x:si>
  <x:si>
    <x:t xml:space="preserve">outcome requires reaching usable understanding, not merely scrolling to the end.</x:t>
  </x:si>
  <x:si>
    <x:t xml:space="preserve">Reading skill, language proficiency and domain familiarity.</x:t>
  </x:si>
  <x:si>
    <x:t xml:space="preserve">M22</x:t>
  </x:si>
  <x:si>
    <x:t xml:space="preserve">Setbacks do not discourage me.</x:t>
  </x:si>
  <x:si>
    <x:t xml:space="preserve">Rejected report with actionable revision</x:t>
  </x:si>
  <x:si>
    <x:t xml:space="preserve">One M22 setback window; report accuracy before setback is unscored context.</x:t>
  </x:si>
  <x:si>
    <x:t xml:space="preserve">psychologically credible setback with clear recovery, lower mechanical confounding.</x:t>
  </x:si>
  <x:si>
    <x:t xml:space="preserve">Writing ability, attribution and feedback interpretation.</x:t>
  </x:si>
  <x:si>
    <x:t xml:space="preserve">M23</x:t>
  </x:si>
  <x:si>
    <x:t xml:space="preserve">Even if something is hard, I will keep trying at it.</x:t>
  </x:si>
  <x:si>
    <x:t xml:space="preserve">Feedback-rich pseudo-command debugging</x:t>
  </x:si>
  <x:si>
    <x:t xml:space="preserve">One M23 window, distinct script from M18.</x:t>
  </x:si>
  <x:si>
    <x:t xml:space="preserve">“keep trying” is evidenced by useful adaptive attempts, not button repetition.</x:t>
  </x:si>
  <x:si>
    <x:t xml:space="preserve">Reasoning ability, coding familiarity and task interest.</x:t>
  </x:si>
  <x:si>
    <x:t xml:space="preserve">M24</x:t>
  </x:si>
  <x:si>
    <x:t xml:space="preserve">Inappropriate Persistence</x:t>
  </x:si>
  <x:si>
    <x:t xml:space="preserve">IP</x:t>
  </x:si>
  <x:si>
    <x:t xml:space="preserve">Sometimes I find myself continuing to do something, even when there is no point in carrying on.</x:t>
  </x:si>
  <x:si>
    <x:t xml:space="preserve">Utility-bot output exhaustion</x:t>
  </x:si>
  <x:si>
    <x:t xml:space="preserve">Utility Deck</x:t>
  </x:si>
  <x:si>
    <x:t xml:space="preserve">One M24 post-utility window only; pre-exhaustion behavior establishes control.</x:t>
  </x:si>
  <x:si>
    <x:t xml:space="preserve">closest match to “no point in carrying on.”</x:t>
  </x:si>
  <x:si>
    <x:t xml:space="preserve">Signal trust, curiosity and learned reward history.</x:t>
  </x:si>
  <x:si>
    <x:t xml:space="preserve">M25</x:t>
  </x:si>
  <x:si>
    <x:t xml:space="preserve">Sometimes I will keep doing the same thing over and over, but I believe that it is normal to do so.</x:t>
  </x:si>
  <x:si>
    <x:t xml:space="preserve">Unchanged command after rejection</x:t>
  </x:si>
  <x:si>
    <x:t xml:space="preserve">One M25 repetition window after knowledge confirmation.</x:t>
  </x:si>
  <x:si>
    <x:t xml:space="preserve">isolates “same thing over and over” more cleanly than a physical button.</x:t>
  </x:si>
  <x:si>
    <x:t xml:space="preserve">Habit, interface error and belief is private/unobserved.</x:t>
  </x:si>
  <x:si>
    <x:t xml:space="preserve">M26</x:t>
  </x:si>
  <x:si>
    <x:t xml:space="preserve">I will keep trying at something, even if I know my actions are worthless.</x:t>
  </x:si>
  <x:si>
    <x:t xml:space="preserve">Explicitly disconnected communication channel</x:t>
  </x:si>
  <x:si>
    <x:t xml:space="preserve">Communications Bay</x:t>
  </x:si>
  <x:si>
    <x:t xml:space="preserve">One M26 post-knowledge window.</x:t>
  </x:si>
  <x:si>
    <x:t xml:space="preserve">strongest knowledge condition and low navigation confound.</x:t>
  </x:si>
  <x:si>
    <x:t xml:space="preserve">Signal trust, curiosity and desire to test once.</x:t>
  </x:si>
  <x:si>
    <x:t xml:space="preserve">Three competing measurement approaches per item</x:t>
  </x:si>
  <x:si>
    <x:t xml:space="preserve">78 alternatives. Weighted design score = 30% construct fidelity + 20% work relevance + 20% independence + 15% confound control + 15% game integration.</x:t>
  </x:si>
  <x:si>
    <x:t xml:space="preserve">Target claim</x:t>
  </x:si>
  <x:si>
    <x:t xml:space="preserve">Option</x:t>
  </x:si>
  <x:si>
    <x:t xml:space="preserve">Rank</x:t>
  </x:si>
  <x:si>
    <x:t xml:space="preserve">Method family</x:t>
  </x:si>
  <x:si>
    <x:t xml:space="preserve">Participant-facing task</x:t>
  </x:si>
  <x:si>
    <x:t xml:space="preserve">Candidate evidence components</x:t>
  </x:si>
  <x:si>
    <x:t xml:space="preserve">Validity prerequisites</x:t>
  </x:si>
  <x:si>
    <x:t xml:space="preserve">Main alternative explanations</x:t>
  </x:si>
  <x:si>
    <x:t xml:space="preserve">Construct fidelity</x:t>
  </x:si>
  <x:si>
    <x:t xml:space="preserve">Work relevance</x:t>
  </x:si>
  <x:si>
    <x:t xml:space="preserve">Independence</x:t>
  </x:si>
  <x:si>
    <x:t xml:space="preserve">Confound control</x:t>
  </x:si>
  <x:si>
    <x:t xml:space="preserve">Game integration</x:t>
  </x:si>
  <x:si>
    <x:t xml:space="preserve">Weighted design score</x:t>
  </x:si>
  <x:si>
    <x:t xml:space="preserve">Disposition</x:t>
  </x:si>
  <x:si>
    <x:t xml:space="preserve">structured, dependency-respecting work process</x:t>
  </x:si>
  <x:si>
    <x:t xml:space="preserve">NEW</x:t>
  </x:si>
  <x:si>
    <x:t xml:space="preserve">work-sample / in-basket</x:t>
  </x:si>
  <x:si>
    <x:t xml:space="preserve">Review a compact incident packet, place five work orders into a dependency-valid execution board, then begin the first selected order.</x:t>
  </x:si>
  <x:si>
    <x:t xml:space="preserve">Dependency violations, valid ordering, corrections before commitment; candidate indicator remains components until scoring authority.</x:t>
  </x:si>
  <x:si>
    <x:t xml:space="preserve">Objective comprehension; two equally valid orders; all documents visible; no time pressure; matched forms.</x:t>
  </x:si>
  <x:si>
    <x:t xml:space="preserve">RECOMMEND: stronger work relevance than abstract sorting while preserving the old dependency-board insight.</x:t>
  </x:si>
  <x:si>
    <x:t xml:space="preserve">Procedural maintenance plan-and-execute</x:t>
  </x:si>
  <x:si>
    <x:t xml:space="preserve">REFRAMED LEGACY</x:t>
  </x:si>
  <x:si>
    <x:t xml:space="preserve">work sample</x:t>
  </x:si>
  <x:si>
    <x:t xml:space="preserve">Arrange repair steps and resources on a physical job card, then execute a short subset.</x:t>
  </x:si>
  <x:si>
    <x:t xml:space="preserve">Single window; planning events owned by M01, execution quality excluded.</x:t>
  </x:si>
  <x:si>
    <x:t xml:space="preserve">Valid prerequisite order and unprompted use of checklist structure.</x:t>
  </x:si>
  <x:si>
    <x:t xml:space="preserve">Task knowledge taught first; two valid routes; identical resources.</x:t>
  </x:si>
  <x:si>
    <x:t xml:space="preserve">Mechanical reasoning and familiarity; planning may be over-cued.</x:t>
  </x:si>
  <x:si>
    <x:t xml:space="preserve">RUNNER-UP: highly game-like, but more domain and motor contamination.</x:t>
  </x:si>
  <x:si>
    <x:t xml:space="preserve">Pseudo-command sequence construction</x:t>
  </x:si>
  <x:si>
    <x:t xml:space="preserve">constructed response</x:t>
  </x:si>
  <x:si>
    <x:t xml:space="preserve">Diagnostics Console</x:t>
  </x:si>
  <x:si>
    <x:t xml:space="preserve">Use a command reference sheet to compose a short sequence that boots subsystems in dependency order.</x:t>
  </x:si>
  <x:si>
    <x:t xml:space="preserve">One console window, not reused by M16/M18.</x:t>
  </x:si>
  <x:si>
    <x:t xml:space="preserve">Order validity, explicit decomposition, corrected dependency errors.</x:t>
  </x:si>
  <x:si>
    <x:t xml:space="preserve">All syntax supplied; typing-free token assembly; matched command forms.</x:t>
  </x:si>
  <x:si>
    <x:t xml:space="preserve">Logical ability and symbol fluency can dominate organization.</x:t>
  </x:si>
  <x:si>
    <x:t xml:space="preserve">RESERVE: attractive mechanic, weaker personality specificity.</x:t>
  </x:si>
  <x:si>
    <x:t xml:space="preserve">avoidable disorder or loss of task-state organization</x:t>
  </x:si>
  <x:si>
    <x:t xml:space="preserve">work-sample / workspace management</x:t>
  </x:si>
  <x:si>
    <x:t xml:space="preserve">Handle six incoming cases while maintaining folders, labels, pending items and an out-tray; final workspace is committed.</x:t>
  </x:si>
  <x:si>
    <x:t xml:space="preserve">Misfiled, duplicated, omitted or untraceable case components at close.</x:t>
  </x:si>
  <x:si>
    <x:t xml:space="preserve">Identical cases; labels available but use not forced; no carryover from inventory.</x:t>
  </x:si>
  <x:si>
    <x:t xml:space="preserve">RECOMMEND: measures organization of work state, not merely matching objects to bins.</x:t>
  </x:si>
  <x:si>
    <x:t xml:space="preserve">Field-kit functional bin sort</x:t>
  </x:si>
  <x:si>
    <x:t xml:space="preserve">LEGACY</x:t>
  </x:si>
  <x:si>
    <x:t xml:space="preserve">direct manipulation</x:t>
  </x:si>
  <x:si>
    <x:t xml:space="preserve">Logistics Preparation</x:t>
  </x:si>
  <x:si>
    <x:t xml:space="preserve">Place eight visible kit items into four labelled functional bins and commit.</x:t>
  </x:si>
  <x:si>
    <x:t xml:space="preserve">Single independent sort window.</x:t>
  </x:si>
  <x:si>
    <x:t xml:space="preserve">Misplacements and omissions from final state.</x:t>
  </x:si>
  <x:si>
    <x:t xml:space="preserve">Labels readable; positions counterbalanced; keyboard equivalent.</x:t>
  </x:si>
  <x:si>
    <x:t xml:space="preserve">Categorization, visual search and motor control; task transparently signals desired order.</x:t>
  </x:si>
  <x:si>
    <x:t xml:space="preserve">RUNNER-UP: clean and playable, but resembles an ability/matching test.</x:t>
  </x:si>
  <x:si>
    <x:t xml:space="preserve">Interrupted document filing</x:t>
  </x:si>
  <x:si>
    <x:t xml:space="preserve">work sample with interruption</x:t>
  </x:si>
  <x:si>
    <x:t xml:space="preserve">Records Office</x:t>
  </x:si>
  <x:si>
    <x:t xml:space="preserve">File a short batch; receive a standardized interruption; resume and hand over the records.</x:t>
  </x:si>
  <x:si>
    <x:t xml:space="preserve">M02 filing events only; interruption content is neutral and not scored elsewhere.</x:t>
  </x:si>
  <x:si>
    <x:t xml:space="preserve">Post-resumption location errors, orphaned records and lost place markers.</x:t>
  </x:si>
  <x:si>
    <x:t xml:space="preserve">Same interruption point; all participants resume; no memory score inferred.</x:t>
  </x:si>
  <x:si>
    <x:t xml:space="preserve">Memory under interruption, reading speed, stress response.</x:t>
  </x:si>
  <x:si>
    <x:t xml:space="preserve">RESERVE: ecologically strong but interruption adds construct-irrelevant variance.</x:t>
  </x:si>
  <x:si>
    <x:t xml:space="preserve">restoration and maintenance of an orderly work state</x:t>
  </x:si>
  <x:si>
    <x:t xml:space="preserve">behavior aggregation</x:t>
  </x:si>
  <x:si>
    <x:t xml:space="preserve">After two short unrelated jobs, participants may restore item-local tools/materials to clear labelled homes before leaving.</x:t>
  </x:si>
  <x:si>
    <x:t xml:space="preserve">Correctly restored standardized objects across two valid occasions.</x:t>
  </x:si>
  <x:si>
    <x:t xml:space="preserve">Each occasion independently spawns the same object count; non-gating exit; no explicit cleanup order.</x:t>
  </x:si>
  <x:si>
    <x:t xml:space="preserve">RECOMMEND: repeated occasions better represent “keeps” than one conspicuous tidy task.</x:t>
  </x:si>
  <x:si>
    <x:t xml:space="preserve">Calibration tool-board stow</x:t>
  </x:si>
  <x:si>
    <x:t xml:space="preserve">Return six standardized tools from a tray to labelled silhouettes after practice.</x:t>
  </x:si>
  <x:si>
    <x:t xml:space="preserve">Single independent window.</x:t>
  </x:si>
  <x:si>
    <x:t xml:space="preserve">Correctly stowed tools at exit/closure.</x:t>
  </x:si>
  <x:si>
    <x:t xml:space="preserve">Independent tray; readable silhouettes; exit available.</x:t>
  </x:si>
  <x:si>
    <x:t xml:space="preserve">Spatial matching and obvious expected behavior.</x:t>
  </x:si>
  <x:si>
    <x:t xml:space="preserve">RUNNER-UP: precise but narrow and highly transparent.</x:t>
  </x:si>
  <x:si>
    <x:t xml:space="preserve">Personal locker maintenance</x:t>
  </x:si>
  <x:si>
    <x:t xml:space="preserve">persistent environment state</x:t>
  </x:si>
  <x:si>
    <x:t xml:space="preserve">A personal locker accumulates issued gear; participant can arrange designated homes during two natural returns.</x:t>
  </x:si>
  <x:si>
    <x:t xml:space="preserve">Two item-local locker windows; general inventory use is secondary only.</x:t>
  </x:si>
  <x:si>
    <x:t xml:space="preserve">Proportion in designated homes at each close; within-item aggregation only.</x:t>
  </x:si>
  <x:si>
    <x:t xml:space="preserve">Same issued set and return times; no inventory shortage consequences.</x:t>
  </x:si>
  <x:si>
    <x:t xml:space="preserve">Navigation, forgetfulness, personal preference; strong game conventions.</x:t>
  </x:si>
  <x:si>
    <x:t xml:space="preserve">RESERVE: naturalistic but state carryover is harder to standardize.</x:t>
  </x:si>
  <x:si>
    <x:t xml:space="preserve">leaving self-generated or assigned mess unresolved</x:t>
  </x:si>
  <x:si>
    <x:t xml:space="preserve">LEGACY REFINED</x:t>
  </x:si>
  <x:si>
    <x:t xml:space="preserve">direct manipulation / natural consequence</x:t>
  </x:si>
  <x:si>
    <x:t xml:space="preserve">A scored-neutral sample task independently creates six standardized wrappers, swabs and offcuts; disposal is optional and exit remains open.</x:t>
  </x:si>
  <x:si>
    <x:t xml:space="preserve">Debris left unresolved at exit/timeout; cleanup latency secondary.</x:t>
  </x:si>
  <x:si>
    <x:t xml:space="preserve">Exactly six visible objects; disposal works; no time pressure; debris not reused by M03.</x:t>
  </x:si>
  <x:si>
    <x:t xml:space="preserve">RECOMMEND: strongest direct analogue if cleanup is not announced as a test.</x:t>
  </x:si>
  <x:si>
    <x:t xml:space="preserve">Shared handover spill</x:t>
  </x:si>
  <x:si>
    <x:t xml:space="preserve">Laboratory Handover</x:t>
  </x:si>
  <x:si>
    <x:t xml:space="preserve">NPC leaves a standardized spill and packaging before handover; participant may clean or leave it.</x:t>
  </x:si>
  <x:si>
    <x:t xml:space="preserve">Single window; mess is assigned context, not caused by M03/M11.</x:t>
  </x:si>
  <x:si>
    <x:t xml:space="preserve">Unresolved spill components before handover.</x:t>
  </x:si>
  <x:si>
    <x:t xml:space="preserve">Identical mess; cleaning gear visible; no NPC command; no hazard penalty.</x:t>
  </x:si>
  <x:si>
    <x:t xml:space="preserve">Prosocial/helping motive rather than own cleanliness.</x:t>
  </x:si>
  <x:si>
    <x:t xml:space="preserve">RUNNER-UP: less self-generated, more social-responsibility contamination.</x:t>
  </x:si>
  <x:si>
    <x:t xml:space="preserve">End-of-shift closeout sweep</x:t>
  </x:si>
  <x:si>
    <x:t xml:space="preserve">behavioral observation</x:t>
  </x:si>
  <x:si>
    <x:t xml:space="preserve">Return/Handover</x:t>
  </x:si>
  <x:si>
    <x:t xml:space="preserve">Before signing out, participant passes two previously used work areas with standardized leftover item-local clutter.</x:t>
  </x:si>
  <x:si>
    <x:t xml:space="preserve">Two M04-only closeout micro-windows; no other item uses the clutter.</x:t>
  </x:si>
  <x:si>
    <x:t xml:space="preserve">Count resolved across the two closeout states.</x:t>
  </x:si>
  <x:si>
    <x:t xml:space="preserve">Equal route and visibility; no urgent competing task.</x:t>
  </x:si>
  <x:si>
    <x:t xml:space="preserve">Fatigue and route attention; repeated cues may expose purpose.</x:t>
  </x:si>
  <x:si>
    <x:t xml:space="preserve">RESERVE: better generalization but adds time and salience.</x:t>
  </x:si>
  <x:si>
    <x:t xml:space="preserve">initiation after task comprehension and genuine opportunity</x:t>
  </x:si>
  <x:si>
    <x:t xml:space="preserve">trait-activation work sample</x:t>
  </x:si>
  <x:si>
    <x:t xml:space="preserve">After controls and objective comprehension, a clearly diagnosable minor fault is available without an NPC command; other actions are temporarily neutral.</x:t>
  </x:si>
  <x:si>
    <x:t xml:space="preserve">Latency and initiation/no-initiation censoring retained separately.</x:t>
  </x:si>
  <x:si>
    <x:t xml:space="preserve">Task is reachable, low-risk and understood; input focus valid; fixed start distance.</x:t>
  </x:si>
  <x:si>
    <x:t xml:space="preserve">RECOMMEND: weaker situational pressure than a flashing “start now” button, allowing trait expression.</x:t>
  </x:si>
  <x:si>
    <x:t xml:space="preserve">Accepted work-order start latency</x:t>
  </x:si>
  <x:si>
    <x:t xml:space="preserve">Participant accepts a clear duty and can begin it immediately; no further permission is needed.</x:t>
  </x:si>
  <x:si>
    <x:t xml:space="preserve">Single window after acceptance and comprehension.</x:t>
  </x:si>
  <x:si>
    <x:t xml:space="preserve">Time to first task-specific action, with censored flag.</x:t>
  </x:si>
  <x:si>
    <x:t xml:space="preserve">No competing demand; identical route; accessibility delay excluded.</x:t>
  </x:si>
  <x:si>
    <x:t xml:space="preserve">Hesitation, cautiousness, reading and navigation.</x:t>
  </x:si>
  <x:si>
    <x:t xml:space="preserve">RUNNER-UP: clean boundary but strong instruction may make the situation too strong.</x:t>
  </x:si>
  <x:si>
    <x:t xml:space="preserve">Benign start-now versus defer choice</x:t>
  </x:si>
  <x:si>
    <x:t xml:space="preserve">choice architecture</x:t>
  </x:si>
  <x:si>
    <x:t xml:space="preserve">Workshop Queue</x:t>
  </x:si>
  <x:si>
    <x:t xml:space="preserve">Two equal-outcome jobs can be started now or parked once; no penalty for either choice.</x:t>
  </x:si>
  <x:si>
    <x:t xml:space="preserve">Single item-local choice plus subsequent initiation.</x:t>
  </x:si>
  <x:si>
    <x:t xml:space="preserve">Deferral selection and delay after comprehension.</x:t>
  </x:si>
  <x:si>
    <x:t xml:space="preserve">Equal effort/reward/route; choice meaning checked in debrief.</x:t>
  </x:si>
  <x:si>
    <x:t xml:space="preserve">Preference for task order or exploration, not initiation difficulty.</x:t>
  </x:si>
  <x:si>
    <x:t xml:space="preserve">RESERVE: behaviorally clear but interpretation is ambiguous.</x:t>
  </x:si>
  <x:si>
    <x:t xml:space="preserve">quality-preserving efficiency in a practiced workflow</x:t>
  </x:si>
  <x:si>
    <x:t xml:space="preserve">standardized work sample</x:t>
  </x:si>
  <x:si>
    <x:t xml:space="preserve">Using a visible command sheet, assemble and dispatch four routine subsystem commands after a non-scored practice.</x:t>
  </x:si>
  <x:si>
    <x:t xml:space="preserve">Correct jobs completed; excess valid/invalid actions; active time excluding animation.</x:t>
  </x:si>
  <x:si>
    <x:t xml:space="preserve">Practice criterion; same command set; token entry avoids typing skill; no interruption.</x:t>
  </x:si>
  <x:si>
    <x:t xml:space="preserve">RECOMMEND: adult work-simulation, quality and efficiency observable together without coding knowledge.</x:t>
  </x:si>
  <x:si>
    <x:t xml:space="preserve">Cargo routing workflow</x:t>
  </x:si>
  <x:si>
    <x:t xml:space="preserve">direct-manipulation work sample</x:t>
  </x:si>
  <x:si>
    <x:t xml:space="preserve">Route four modules through a practiced five-action workflow with correction allowed.</x:t>
  </x:si>
  <x:si>
    <x:t xml:space="preserve">One independent workcell.</x:t>
  </x:si>
  <x:si>
    <x:t xml:space="preserve">Completion and minimum-valid-actions relative to observed item-local actions.</x:t>
  </x:si>
  <x:si>
    <x:t xml:space="preserve">Matched forms and practice; motor/accessibility equivalence.</x:t>
  </x:si>
  <x:si>
    <x:t xml:space="preserve">Motor skill and puzzle strategy.</x:t>
  </x:si>
  <x:si>
    <x:t xml:space="preserve">RUNNER-UP: playable and clear, but more physical-skill variance.</x:t>
  </x:si>
  <x:si>
    <x:t xml:space="preserve">In-basket throughput with quality floor</x:t>
  </x:si>
  <x:si>
    <x:t xml:space="preserve">in-basket work sample</x:t>
  </x:si>
  <x:si>
    <x:t xml:space="preserve">Resolve five routine messages using known procedures within a bounded window.</x:t>
  </x:si>
  <x:si>
    <x:t xml:space="preserve">M06-owned message set, separate from M01/M14 documents.</x:t>
  </x:si>
  <x:si>
    <x:t xml:space="preserve">Accurate closures and unnecessary processing steps; speed only after quality threshold.</x:t>
  </x:si>
  <x:si>
    <x:t xml:space="preserve">Known procedures; equal reading load; no urgency framing.</x:t>
  </x:si>
  <x:si>
    <x:t xml:space="preserve">Reading speed and clerical experience.</x:t>
  </x:si>
  <x:si>
    <x:t xml:space="preserve">RESERVE: strong job relevance, less game-like and text-heavy.</x:t>
  </x:si>
  <x:si>
    <x:t xml:space="preserve">follow-through on attainable routine work to a clear endpoint</x:t>
  </x:si>
  <x:si>
    <x:t xml:space="preserve">longitudinal work sample</x:t>
  </x:si>
  <x:si>
    <x:t xml:space="preserve">Complete a six-stage attainable calibration; participant may leave and return while state remains unchanged.</x:t>
  </x:si>
  <x:si>
    <x:t xml:space="preserve">Completion, useful re-engagement and stage progress; no difficulty manipulation.</x:t>
  </x:si>
  <x:si>
    <x:t xml:space="preserve">Task attainable, routine, controls known, no setback, endpoint visible.</x:t>
  </x:si>
  <x:si>
    <x:t xml:space="preserve">RECOMMEND: preserves distinction between general finish-through and PDD.</x:t>
  </x:si>
  <x:si>
    <x:t xml:space="preserve">Document-reconstruction closure</x:t>
  </x:si>
  <x:si>
    <x:t xml:space="preserve">Reconstruct a routine maintenance record from six fragments and submit a complete file; it can be parked and resumed.</x:t>
  </x:si>
  <x:si>
    <x:t xml:space="preserve">Single project with persistent item-local state.</x:t>
  </x:si>
  <x:si>
    <x:t xml:space="preserve">Unfinished/returned/completed status and correct closure.</x:t>
  </x:si>
  <x:si>
    <x:t xml:space="preserve">Low difficulty; fragments all available; no hidden error.</x:t>
  </x:si>
  <x:si>
    <x:t xml:space="preserve">Reading, search skill and task preference.</x:t>
  </x:si>
  <x:si>
    <x:t xml:space="preserve">RUNNER-UP: adult context, but lower physical game engagement.</x:t>
  </x:si>
  <x:si>
    <x:t xml:space="preserve">Craft-and-install chain</x:t>
  </x:si>
  <x:si>
    <x:t xml:space="preserve">production simulation</x:t>
  </x:si>
  <x:si>
    <x:t xml:space="preserve">Workshop + Yard</x:t>
  </x:si>
  <x:si>
    <x:t xml:space="preserve">Assemble a simple replacement unit and install it at a nearby socket; no obstacle or setback.</x:t>
  </x:si>
  <x:si>
    <x:t xml:space="preserve">One M07 chain across two scenes, event family remains exclusive.</x:t>
  </x:si>
  <x:si>
    <x:t xml:space="preserve">Whether participant follows through to installed endpoint.</x:t>
  </x:si>
  <x:si>
    <x:t xml:space="preserve">All parts available; route known; no interruption or failure.</x:t>
  </x:si>
  <x:si>
    <x:t xml:space="preserve">Navigation and motor execution.</x:t>
  </x:si>
  <x:si>
    <x:t xml:space="preserve">RESERVE: compelling gameplay but cross-scene access creates invalidity risks.</x:t>
  </x:si>
  <x:si>
    <x:t xml:space="preserve">productive engagement when low-burden useful work is available</x:t>
  </x:si>
  <x:si>
    <x:t xml:space="preserve">behavior aggregation / optional work</x:t>
  </x:si>
  <x:si>
    <x:t xml:space="preserve">At two standardized quiet moments, two equally visible, short useful jobs are available with neutral equal outcomes.</x:t>
  </x:si>
  <x:si>
    <x:t xml:space="preserve">Productive engagement across eligible jobs; fatigue/context retained as covariates, not scores.</x:t>
  </x:si>
  <x:si>
    <x:t xml:space="preserve">Required work complete; no time pressure; equal route/effort/reward; relevance understood.</x:t>
  </x:si>
  <x:si>
    <x:t xml:space="preserve">RECOMMEND WITH CAUTION: best available analogue, but keep questionnaire-primary if pilot convergence is weak.</x:t>
  </x:si>
  <x:si>
    <x:t xml:space="preserve">Effort-foraging choice series</x:t>
  </x:si>
  <x:si>
    <x:t xml:space="preserve">behavioral economics / effort choice</x:t>
  </x:si>
  <x:si>
    <x:t xml:space="preserve">Choose repeatedly between a small immediate low-effort job and a larger useful job requiring more actions; outcomes are transparent.</x:t>
  </x:si>
  <x:si>
    <x:t xml:space="preserve">M08-owned choice series.</x:t>
  </x:si>
  <x:si>
    <x:t xml:space="preserve">Effort acceptance curve across matched trials.</x:t>
  </x:si>
  <x:si>
    <x:t xml:space="preserve">Rewards meaningful but non-primary; choices comprehended; motor demand calibrated.</x:t>
  </x:si>
  <x:si>
    <x:t xml:space="preserve">Effort valuation is not identical to laziness; reward sensitivity and ability.</x:t>
  </x:si>
  <x:si>
    <x:t xml:space="preserve">RUNNER-UP: standardized research paradigm, weaker construct fidelity to broad trait wording.</x:t>
  </x:si>
  <x:si>
    <x:t xml:space="preserve">Idle-versus-productive free period</x:t>
  </x:si>
  <x:si>
    <x:t xml:space="preserve">naturalistic observation</x:t>
  </x:si>
  <x:si>
    <x:t xml:space="preserve">Crew Commons</x:t>
  </x:si>
  <x:si>
    <x:t xml:space="preserve">A bounded free period offers optional station upkeep, neutral exploration and waiting.</x:t>
  </x:si>
  <x:si>
    <x:t xml:space="preserve">One M08 window; general movement never primary.</x:t>
  </x:si>
  <x:si>
    <x:t xml:space="preserve">Useful task initiation/completion within period.</x:t>
  </x:si>
  <x:si>
    <x:t xml:space="preserve">Activities equally salient; no hidden benefits; participant knows waiting is allowed.</x:t>
  </x:si>
  <x:si>
    <x:t xml:space="preserve">Curiosity and exploration preference; “not working” cannot safely be called laziness.</x:t>
  </x:si>
  <x:si>
    <x:t xml:space="preserve">REJECT AS PRIMARY: useful ecological telemetry only.</x:t>
  </x:si>
  <x:si>
    <x:t xml:space="preserve">consistent fulfilment of repeated scheduled duties</x:t>
  </x:si>
  <x:si>
    <x:t xml:space="preserve">behavior aggregation / prospective duty</x:t>
  </x:si>
  <x:si>
    <x:t xml:space="preserve">Accept a monitor watch with two scheduled gauge checks at fixed milestones; equal reminders and route access.</x:t>
  </x:si>
  <x:si>
    <x:t xml:space="preserve">Fulfilment consistency and within-window timeliness.</x:t>
  </x:si>
  <x:si>
    <x:t xml:space="preserve">Both checks presented; reminders delivered; gauges available; no competing mandatory task.</x:t>
  </x:si>
  <x:si>
    <x:t xml:space="preserve">RECOMMEND: repeated item-local occasions operationalize “steady” better than one act.</x:t>
  </x:si>
  <x:si>
    <x:t xml:space="preserve">Equipment custody and return</x:t>
  </x:si>
  <x:si>
    <x:t xml:space="preserve">Workshop + Handover</x:t>
  </x:si>
  <x:si>
    <x:t xml:space="preserve">Participant signs for a meter and must perform two scheduled condition checks before return.</x:t>
  </x:si>
  <x:si>
    <x:t xml:space="preserve">Two M09-owned checks and one return; equipment use itself excluded.</x:t>
  </x:si>
  <x:si>
    <x:t xml:space="preserve">Proportion of scheduled obligations fulfilled.</x:t>
  </x:si>
  <x:si>
    <x:t xml:space="preserve">Persistent mission log; item cannot be lost; equal access.</x:t>
  </x:si>
  <x:si>
    <x:t xml:space="preserve">Memory and inventory conventions.</x:t>
  </x:si>
  <x:si>
    <x:t xml:space="preserve">RUNNER-UP: coherent but inventory mechanics may dominate.</x:t>
  </x:si>
  <x:si>
    <x:t xml:space="preserve">Two status check-ins</x:t>
  </x:si>
  <x:si>
    <x:t xml:space="preserve">scheduled work sample</x:t>
  </x:si>
  <x:si>
    <x:t xml:space="preserve">Operations Hub</x:t>
  </x:si>
  <x:si>
    <x:t xml:space="preserve">Two matched status check-ins become due at fixed milestones with standardized reminders.</x:t>
  </x:si>
  <x:si>
    <x:t xml:space="preserve">Two M09-only opportunities.</x:t>
  </x:si>
  <x:si>
    <x:t xml:space="preserve">Correctly fulfilled checkpoints divided by valid due checkpoints.</x:t>
  </x:si>
  <x:si>
    <x:t xml:space="preserve">Matched distance and reminders.</x:t>
  </x:si>
  <x:si>
    <x:t xml:space="preserve">Memory and route burden; check-ins can feel arbitrary.</x:t>
  </x:si>
  <x:si>
    <x:t xml:space="preserve">RESERVE: scientifically clean, less natural than monitoring duty.</x:t>
  </x:si>
  <x:si>
    <x:t xml:space="preserve">follow-through on an explicitly accepted interpersonal commitment</x:t>
  </x:si>
  <x:si>
    <x:t xml:space="preserve">social work sample</x:t>
  </x:si>
  <x:si>
    <x:t xml:space="preserve">Voluntarily accept delivery of a named component; a matched interruption occurs; commitment stays visible until handover.</x:t>
  </x:si>
  <x:si>
    <x:t xml:space="preserve">Accepted promise fulfilled at cutoff; delay and return are components.</x:t>
  </x:si>
  <x:si>
    <x:t xml:space="preserve">Explicit acceptance; recipient/item always available; one neutral reminder.</x:t>
  </x:si>
  <x:si>
    <x:t xml:space="preserve">RECOMMEND: direct bounded analogue of being countable-on, distinct from M09 steadiness.</x:t>
  </x:si>
  <x:si>
    <x:t xml:space="preserve">Relief-shift handover commitment</x:t>
  </x:si>
  <x:si>
    <x:t xml:space="preserve">Tell an NPC you will complete one handover note before they leave, then encounter a neutral competing task.</x:t>
  </x:si>
  <x:si>
    <x:t xml:space="preserve">Single M10 commitment.</x:t>
  </x:si>
  <x:si>
    <x:t xml:space="preserve">Whether the accepted handover is completed before the known cutoff.</x:t>
  </x:si>
  <x:si>
    <x:t xml:space="preserve">Acceptance and cutoff understood; equal competing demand.</x:t>
  </x:si>
  <x:si>
    <x:t xml:space="preserve">Time management and reading burden.</x:t>
  </x:si>
  <x:si>
    <x:t xml:space="preserve">RUNNER-UP: realistic but cutoff pressure may create a strong situation.</x:t>
  </x:si>
  <x:si>
    <x:t xml:space="preserve">Requested callback/service restoration</x:t>
  </x:si>
  <x:si>
    <x:t xml:space="preserve">Accept an NPC request to restore a noncritical service and notify them afterward.</x:t>
  </x:si>
  <x:si>
    <x:t xml:space="preserve">One M10-owned request spanning two scenes.</x:t>
  </x:si>
  <x:si>
    <x:t xml:space="preserve">Technical completion plus required callback.</x:t>
  </x:si>
  <x:si>
    <x:t xml:space="preserve">Task attainable; reminder visible; NPC available.</x:t>
  </x:si>
  <x:si>
    <x:t xml:space="preserve">Ability can prevent fulfilment, contaminating reliability.</x:t>
  </x:si>
  <x:si>
    <x:t xml:space="preserve">RESERVE: compelling narrative but competence contamination is high.</x:t>
  </x:si>
  <x:si>
    <x:t xml:space="preserve">resolution of an acknowledged operational obligation</x:t>
  </x:si>
  <x:si>
    <x:t xml:space="preserve">safety work sample</x:t>
  </x:si>
  <x:si>
    <x:t xml:space="preserve">A container must be sealed before transfer; participant acknowledges the obligation, can resolve it, but transfer is not hard-gated.</x:t>
  </x:si>
  <x:si>
    <x:t xml:space="preserve">Knowingly unresolved obligation at transfer/cutoff.</x:t>
  </x:si>
  <x:si>
    <x:t xml:space="preserve">Seal tool works; consequence stated neutrally; no hazard penalty; acknowledgement confirmed.</x:t>
  </x:si>
  <x:si>
    <x:t xml:space="preserve">RECOMMEND: narrow but observable; never infer broad irresponsibility without questionnaire validation.</x:t>
  </x:si>
  <x:si>
    <x:t xml:space="preserve">Airlock lockout responsibility</x:t>
  </x:si>
  <x:si>
    <x:t xml:space="preserve">Exterior Airlock</x:t>
  </x:si>
  <x:si>
    <x:t xml:space="preserve">After servicing, participant acknowledges a lockout-tag removal/closure obligation before leaving.</x:t>
  </x:si>
  <x:si>
    <x:t xml:space="preserve">One independent M11 window.</x:t>
  </x:si>
  <x:si>
    <x:t xml:space="preserve">Whether the acknowledged closure is resolved.</x:t>
  </x:si>
  <x:si>
    <x:t xml:space="preserve">No physical danger, no forced gate, all controls known.</x:t>
  </x:si>
  <x:si>
    <x:t xml:space="preserve">Safety knowledge and fear of consequences.</x:t>
  </x:si>
  <x:si>
    <x:t xml:space="preserve">RUNNER-UP: vivid but safety framing may overpower trait variance.</x:t>
  </x:si>
  <x:si>
    <x:t xml:space="preserve">Data-backup duty before shutdown</x:t>
  </x:si>
  <x:si>
    <x:t xml:space="preserve">administrative work sample</x:t>
  </x:si>
  <x:si>
    <x:t xml:space="preserve">A verified report must be backed up before terminal shutdown; obligation is explicit and non-gating.</x:t>
  </x:si>
  <x:si>
    <x:t xml:space="preserve">One M11-owned closure window.</x:t>
  </x:si>
  <x:si>
    <x:t xml:space="preserve">Shutdown with acknowledged backup unresolved.</x:t>
  </x:si>
  <x:si>
    <x:t xml:space="preserve">Backup control available; no technical ambiguity; identical file state.</x:t>
  </x:si>
  <x:si>
    <x:t xml:space="preserve">Computer familiarity and perceived consequence.</x:t>
  </x:si>
  <x:si>
    <x:t xml:space="preserve">RESERVE: low motor confound, less embodied.</x:t>
  </x:si>
  <x:si>
    <x:t xml:space="preserve">inspection and correction of preventable errors</x:t>
  </x:si>
  <x:si>
    <x:t xml:space="preserve">quality inspection work sample</x:t>
  </x:si>
  <x:si>
    <x:t xml:space="preserve">Inspect an otherwise complete assembly containing one matched visible-but-not-salient error; correct before final submit.</x:t>
  </x:si>
  <x:si>
    <x:t xml:space="preserve">Detection and correction retained separately; inspection coverage secondary.</x:t>
  </x:si>
  <x:si>
    <x:t xml:space="preserve">Error present and accessible; inspection practiced; no time pressure; matched forms.</x:t>
  </x:si>
  <x:si>
    <x:t xml:space="preserve">RECOMMEND: direct preventable-carelessness analogue with controllable entry state.</x:t>
  </x:si>
  <x:si>
    <x:t xml:space="preserve">Handover report discrepancy</x:t>
  </x:si>
  <x:si>
    <x:t xml:space="preserve">clerical quality work sample</x:t>
  </x:si>
  <x:si>
    <x:t xml:space="preserve">Compare a concise status note with two source records and submit; one standardized discrepancy is embedded.</x:t>
  </x:si>
  <x:si>
    <x:t xml:space="preserve">One M12-owned report set.</x:t>
  </x:si>
  <x:si>
    <x:t xml:space="preserve">Whether discrepancy is detected/corrected before submission.</x:t>
  </x:si>
  <x:si>
    <x:t xml:space="preserve">Sources remain visible; reading load matched.</x:t>
  </x:si>
  <x:si>
    <x:t xml:space="preserve">Reading comprehension and clerical experience.</x:t>
  </x:si>
  <x:si>
    <x:t xml:space="preserve">RUNNER-UP: adult work relevance, more language load.</x:t>
  </x:si>
  <x:si>
    <x:t xml:space="preserve">Inventory manifest verification</x:t>
  </x:si>
  <x:si>
    <x:t xml:space="preserve">direct manipulation / inspection</x:t>
  </x:si>
  <x:si>
    <x:t xml:space="preserve">Verify a sealed kit against a manifest; one item has a subtle but accessible mismatch.</x:t>
  </x:si>
  <x:si>
    <x:t xml:space="preserve">Single M12 window independent of M02 sorting.</x:t>
  </x:si>
  <x:si>
    <x:t xml:space="preserve">Correct flag and correction of mismatch.</x:t>
  </x:si>
  <x:si>
    <x:t xml:space="preserve">No M02 state carryover; fixed item count; accessible comparison.</x:t>
  </x:si>
  <x:si>
    <x:t xml:space="preserve">Visual search and familiarity with item icons.</x:t>
  </x:si>
  <x:si>
    <x:t xml:space="preserve">RESERVE: playable but may be confused with organization.</x:t>
  </x:si>
  <x:si>
    <x:t xml:space="preserve">constraint satisfaction in a novel puzzle</x:t>
  </x:si>
  <x:si>
    <x:t xml:space="preserve">constraint puzzle</x:t>
  </x:si>
  <x:si>
    <x:t xml:space="preserve">Rotate and place network pieces so endpoints connect, the valve is inline and no branch remains open.</x:t>
  </x:si>
  <x:si>
    <x:t xml:space="preserve">Satisfied constraints and valid final network.</x:t>
  </x:si>
  <x:si>
    <x:t xml:space="preserve">Worked example; matched forms; corrections allowed; no domain symbols.</x:t>
  </x:si>
  <x:si>
    <x:t xml:space="preserve">RECOMMEND: true manipulable minigame with explicit constraints.</x:t>
  </x:si>
  <x:si>
    <x:t xml:space="preserve">Spatial packing and access puzzle</x:t>
  </x:si>
  <x:si>
    <x:t xml:space="preserve">Cargo Bay</x:t>
  </x:si>
  <x:si>
    <x:t xml:space="preserve">Pack repair modules into a grid while preserving access lanes and weight limits.</x:t>
  </x:si>
  <x:si>
    <x:t xml:space="preserve">One M13-only puzzle.</x:t>
  </x:si>
  <x:si>
    <x:t xml:space="preserve">Constraints satisfied at final submission.</x:t>
  </x:si>
  <x:si>
    <x:t xml:space="preserve">Matched layouts; rules visible; no time pressure.</x:t>
  </x:si>
  <x:si>
    <x:t xml:space="preserve">Spatial ability and game familiarity.</x:t>
  </x:si>
  <x:si>
    <x:t xml:space="preserve">RUNNER-UP: job-relevant, potentially harder to explain.</x:t>
  </x:si>
  <x:si>
    <x:t xml:space="preserve">Pattern-lock codebreaker</x:t>
  </x:si>
  <x:si>
    <x:t xml:space="preserve">inductive puzzle</x:t>
  </x:si>
  <x:si>
    <x:t xml:space="preserve">Infer a short symbol rule from examples and open a lock with limited but corrective feedback.</x:t>
  </x:si>
  <x:si>
    <x:t xml:space="preserve">One M13 window, not reused for M16/M18.</x:t>
  </x:si>
  <x:si>
    <x:t xml:space="preserve">Rule-consistent solution and constraint coverage.</x:t>
  </x:si>
  <x:si>
    <x:t xml:space="preserve">Prior symbol knowledge unnecessary; matched forms.</x:t>
  </x:si>
  <x:si>
    <x:t xml:space="preserve">Inductive reasoning overlaps M18 and M16.</x:t>
  </x:si>
  <x:si>
    <x:t xml:space="preserve">RESERVE: too much construct overlap.</x:t>
  </x:si>
  <x:si>
    <x:t xml:space="preserve">accurate coordination of many concurrently available information elements</x:t>
  </x:si>
  <x:si>
    <x:t xml:space="preserve">in-basket / information load</x:t>
  </x:si>
  <x:si>
    <x:t xml:space="preserve">Coordinate six messages, three gauges and a station diagram to assign faults and priorities; all information remains externally available.</x:t>
  </x:si>
  <x:si>
    <x:t xml:space="preserve">Correct source-to-case links and omissions; time secondary.</x:t>
  </x:si>
  <x:si>
    <x:t xml:space="preserve">All sources visible; reading load controlled; display/accessibility adequate.</x:t>
  </x:si>
  <x:si>
    <x:t xml:space="preserve">RECOMMEND: established work-simulation family and direct “many information elements” demand.</x:t>
  </x:si>
  <x:si>
    <x:t xml:space="preserve">Live dashboard monitoring</x:t>
  </x:si>
  <x:si>
    <x:t xml:space="preserve">microworld monitoring</x:t>
  </x:si>
  <x:si>
    <x:t xml:space="preserve">Monitor several changing indicators and acknowledge four pre-defined state combinations using an external note board.</x:t>
  </x:si>
  <x:si>
    <x:t xml:space="preserve">One M14 window with deterministic schedule.</x:t>
  </x:si>
  <x:si>
    <x:t xml:space="preserve">Correct acknowledgements and missed information elements.</x:t>
  </x:si>
  <x:si>
    <x:t xml:space="preserve">Same update schedule; no motor-speed scoring; tutorial criterion.</x:t>
  </x:si>
  <x:si>
    <x:t xml:space="preserve">Vigilance, attention and display size.</x:t>
  </x:si>
  <x:si>
    <x:t xml:space="preserve">RUNNER-UP: dynamic and game-like, but sustained-attention contamination.</x:t>
  </x:si>
  <x:si>
    <x:t xml:space="preserve">Fault-map source linking</x:t>
  </x:si>
  <x:si>
    <x:t xml:space="preserve">information integration task</x:t>
  </x:si>
  <x:si>
    <x:t xml:space="preserve">Link logs, gauges and locations on a static fault map.</x:t>
  </x:si>
  <x:si>
    <x:t xml:space="preserve">One independent M14 window.</x:t>
  </x:si>
  <x:si>
    <x:t xml:space="preserve">Correct links across all required sources.</x:t>
  </x:si>
  <x:si>
    <x:t xml:space="preserve">All sources visible; matched forms.</x:t>
  </x:si>
  <x:si>
    <x:t xml:space="preserve">Overlaps M15 complexity and logical reasoning.</x:t>
  </x:si>
  <x:si>
    <x:t xml:space="preserve">RESERVE: clean, but the distinction from M15 must be experimentally demonstrated.</x:t>
  </x:si>
  <x:si>
    <x:t xml:space="preserve">integration of interdependent evidence into a coherent model</x:t>
  </x:si>
  <x:si>
    <x:t xml:space="preserve">causal reasoning work sample</x:t>
  </x:si>
  <x:si>
    <x:t xml:space="preserve">Build a directed model showing how subsystem states produce observed symptoms, then predict one intervention outcome.</x:t>
  </x:si>
  <x:si>
    <x:t xml:space="preserve">Required causal relations plus prediction accuracy.</x:t>
  </x:si>
  <x:si>
    <x:t xml:space="preserve">Independent case; diagram tutorial; domain-neutral semantics.</x:t>
  </x:si>
  <x:si>
    <x:t xml:space="preserve">RECOMMEND: complex information means relations, not simply quantity.</x:t>
  </x:si>
  <x:si>
    <x:t xml:space="preserve">Contradictory-evidence synthesis report</x:t>
  </x:si>
  <x:si>
    <x:t xml:space="preserve">evidence synthesis</x:t>
  </x:si>
  <x:si>
    <x:t xml:space="preserve">Incident Review</x:t>
  </x:si>
  <x:si>
    <x:t xml:space="preserve">Review four partly conflicting reports and produce a coherent incident explanation with supported/unsupported claims.</x:t>
  </x:si>
  <x:si>
    <x:t xml:space="preserve">One M15-owned document set.</x:t>
  </x:si>
  <x:si>
    <x:t xml:space="preserve">Evidence-consistent claim structure.</x:t>
  </x:si>
  <x:si>
    <x:t xml:space="preserve">Source reliability rules taught; language load matched.</x:t>
  </x:si>
  <x:si>
    <x:t xml:space="preserve">Reading and writing ability; constructed response scoring burden.</x:t>
  </x:si>
  <x:si>
    <x:t xml:space="preserve">RUNNER-UP: excellent adult realism, harder to score objectively.</x:t>
  </x:si>
  <x:si>
    <x:t xml:space="preserve">Dynamic-system prediction microworld</x:t>
  </x:si>
  <x:si>
    <x:t xml:space="preserve">complex problem solving</x:t>
  </x:si>
  <x:si>
    <x:t xml:space="preserve">Utility Simulator</x:t>
  </x:si>
  <x:si>
    <x:t xml:space="preserve">Manipulate two controls, observe delayed effects, infer the system and stabilize it.</x:t>
  </x:si>
  <x:si>
    <x:t xml:space="preserve">One M15 exploratory system; actions not used for M18.</x:t>
  </x:si>
  <x:si>
    <x:t xml:space="preserve">Accuracy of inferred relations and final stabilization.</x:t>
  </x:si>
  <x:si>
    <x:t xml:space="preserve">Deterministic system; equal exploration budget; no hidden randomness.</x:t>
  </x:si>
  <x:si>
    <x:t xml:space="preserve">Working memory and control strategy; high development burden.</x:t>
  </x:si>
  <x:si>
    <x:t xml:space="preserve">RESERVE: high-fidelity complex problem solving, difficult to fit the time cap.</x:t>
  </x:si>
  <x:si>
    <x:t xml:space="preserve">accurate use of newly introduced rules or representations</x:t>
  </x:si>
  <x:si>
    <x:t xml:space="preserve">rule acquisition / transfer</x:t>
  </x:si>
  <x:si>
    <x:t xml:space="preserve">Learn a novel three-part symbol protocol and classify six unseen station cases into process lanes.</x:t>
  </x:si>
  <x:si>
    <x:t xml:space="preserve">Accuracy on unseen cases; study time retained separately.</x:t>
  </x:si>
  <x:si>
    <x:t xml:space="preserve">Rule is genuinely novel; example comprehension; matched forms.</x:t>
  </x:si>
  <x:si>
    <x:t xml:space="preserve">RECOMMEND: direct new-information processing with short administration.</x:t>
  </x:si>
  <x:si>
    <x:t xml:space="preserve">Mid-shift procedure update</x:t>
  </x:si>
  <x:si>
    <x:t xml:space="preserve">rule-switch work sample</x:t>
  </x:si>
  <x:si>
    <x:t xml:space="preserve">After mastering a familiar procedure, receive one clearly explained protocol change and apply it to new cases.</x:t>
  </x:si>
  <x:si>
    <x:t xml:space="preserve">M16 scored only after update; earlier practice is unscored.</x:t>
  </x:si>
  <x:si>
    <x:t xml:space="preserve">Correct application of changed rules.</x:t>
  </x:si>
  <x:si>
    <x:t xml:space="preserve">Change comprehension confirmed; no old-rule penalty beyond scored cases.</x:t>
  </x:si>
  <x:si>
    <x:t xml:space="preserve">Cognitive flexibility and inhibition, not only processing.</x:t>
  </x:si>
  <x:si>
    <x:t xml:space="preserve">RUNNER-UP: narratively natural, mixes updating with inhibition.</x:t>
  </x:si>
  <x:si>
    <x:t xml:space="preserve">Novel command-language translation</x:t>
  </x:si>
  <x:si>
    <x:t xml:space="preserve">Use a supplied token glossary to translate unfamiliar operator messages into commands.</x:t>
  </x:si>
  <x:si>
    <x:t xml:space="preserve">One M16-owned console form.</x:t>
  </x:si>
  <x:si>
    <x:t xml:space="preserve">Correct token transformation across unseen messages.</x:t>
  </x:si>
  <x:si>
    <x:t xml:space="preserve">No typing; glossary visible; matched symbol sets.</x:t>
  </x:si>
  <x:si>
    <x:t xml:space="preserve">Language and symbol mapping ability.</x:t>
  </x:si>
  <x:si>
    <x:t xml:space="preserve">RESERVE: game-like retro console, narrower modality.</x:t>
  </x:si>
  <x:si>
    <x:t xml:space="preserve">rapid acquisition demonstrated on unassisted transfer</x:t>
  </x:si>
  <x:si>
    <x:t xml:space="preserve">learning assessment</x:t>
  </x:si>
  <x:si>
    <x:t xml:space="preserve">Observe one demonstration, complete one guided practice, then perform a changed unassisted transfer case.</x:t>
  </x:si>
  <x:si>
    <x:t xml:space="preserve">Correct steps on first unassisted changed transfer; learning curve components retained.</x:t>
  </x:si>
  <x:si>
    <x:t xml:space="preserve">Novel control mapping; ceiling/floor checked; no motor-time score.</x:t>
  </x:si>
  <x:si>
    <x:t xml:space="preserve">RECOMMEND: learning is demonstrated by transfer, not mere recall or speed.</x:t>
  </x:si>
  <x:si>
    <x:t xml:space="preserve">Repeated matched rule-learning curve</x:t>
  </x:si>
  <x:si>
    <x:t xml:space="preserve">learning curve</x:t>
  </x:si>
  <x:si>
    <x:t xml:space="preserve">Learn three matched mini-rules over brief blocks with immediate neutral feedback and a final transfer set.</x:t>
  </x:si>
  <x:si>
    <x:t xml:space="preserve">M17-only repeated trials.</x:t>
  </x:si>
  <x:si>
    <x:t xml:space="preserve">Trials-to-criterion and transfer accuracy, retained as separate components pending scoring ruling.</x:t>
  </x:si>
  <x:si>
    <x:t xml:space="preserve">Matched difficulty; fixed feedback; no fatigue carryover.</x:t>
  </x:si>
  <x:si>
    <x:t xml:space="preserve">Strategy discovery and test familiarity.</x:t>
  </x:si>
  <x:si>
    <x:t xml:space="preserve">RUNNER-UP: stronger psychometrics, more test-like and time-consuming.</x:t>
  </x:si>
  <x:si>
    <x:t xml:space="preserve">NPC apprenticeship with fading guidance</x:t>
  </x:si>
  <x:si>
    <x:t xml:space="preserve">social learning work sample</x:t>
  </x:si>
  <x:si>
    <x:t xml:space="preserve">NPC demonstrates a device; guidance fades across two attempts before a novel configuration.</x:t>
  </x:si>
  <x:si>
    <x:t xml:space="preserve">One M17 sequence.</x:t>
  </x:si>
  <x:si>
    <x:t xml:space="preserve">Unassisted transfer accuracy and required hints.</x:t>
  </x:si>
  <x:si>
    <x:t xml:space="preserve">Same script and hints; NPC timing fixed.</x:t>
  </x:si>
  <x:si>
    <x:t xml:space="preserve">Social comprehension, audiovisual access and motor skill.</x:t>
  </x:si>
  <x:si>
    <x:t xml:space="preserve">RESERVE: immersive but harder to standardize.</x:t>
  </x:si>
  <x:si>
    <x:t xml:space="preserve">evidence-consistent hypothesis testing and solution selection</x:t>
  </x:si>
  <x:si>
    <x:t xml:space="preserve">logical diagnostic task</x:t>
  </x:si>
  <x:si>
    <x:t xml:space="preserve">Test reversible hypotheses against independent evidence panels, eliminate contradictions and submit the only consistent fault.</x:t>
  </x:si>
  <x:si>
    <x:t xml:space="preserve">Evidence-consistent tests, eliminated contradictions and final diagnosis.</x:t>
  </x:si>
  <x:si>
    <x:t xml:space="preserve">All evidence obtainable; no specialist knowledge; matched cases.</x:t>
  </x:si>
  <x:si>
    <x:t xml:space="preserve">RECOMMEND: directly warrants logical-solution inference.</x:t>
  </x:si>
  <x:si>
    <x:t xml:space="preserve">Pseudo-command debugging</x:t>
  </x:si>
  <x:si>
    <x:t xml:space="preserve">debugging work sample</x:t>
  </x:si>
  <x:si>
    <x:t xml:space="preserve">Find and repair logic errors in a short tokenized command script using a reference sheet and deterministic feedback.</x:t>
  </x:si>
  <x:si>
    <x:t xml:space="preserve">One M18-only script.</x:t>
  </x:si>
  <x:si>
    <x:t xml:space="preserve">Valid hypothesis-driven edits and correct final script.</x:t>
  </x:si>
  <x:si>
    <x:t xml:space="preserve">Syntax taught; typing-free; matched error forms.</x:t>
  </x:si>
  <x:si>
    <x:t xml:space="preserve">Coding familiarity despite reference sheet.</x:t>
  </x:si>
  <x:si>
    <x:t xml:space="preserve">RUNNER-UP: highly playable adult task, pilot for experience bias.</x:t>
  </x:si>
  <x:si>
    <x:t xml:space="preserve">Constraint route proof</x:t>
  </x:si>
  <x:si>
    <x:t xml:space="preserve">deductive puzzle</x:t>
  </x:si>
  <x:si>
    <x:t xml:space="preserve">Recovery Planning</x:t>
  </x:si>
  <x:si>
    <x:t xml:space="preserve">Choose a safe route through a network given explicit constraints and justify it by selecting supporting facts.</x:t>
  </x:si>
  <x:si>
    <x:t xml:space="preserve">One M18 window.</x:t>
  </x:si>
  <x:si>
    <x:t xml:space="preserve">Logical consistency of route and evidence selection.</x:t>
  </x:si>
  <x:si>
    <x:t xml:space="preserve">All facts visible; no navigation execution scored.</x:t>
  </x:si>
  <x:si>
    <x:t xml:space="preserve">Reading and spatial reasoning.</x:t>
  </x:si>
  <x:si>
    <x:t xml:space="preserve">RESERVE: clean but less authentic than diagnosis.</x:t>
  </x:si>
  <x:si>
    <x:t xml:space="preserve">continued useful engagement after calibrated difficulty increases</x:t>
  </x:si>
  <x:si>
    <x:t xml:space="preserve">calibrated persistence task</x:t>
  </x:si>
  <x:si>
    <x:t xml:space="preserve">Complete a useful control task whose resistance increases after initial progress while feedback remains informative and completion attainable.</x:t>
  </x:si>
  <x:si>
    <x:t xml:space="preserve">Useful re-engagement and completion after difficulty onset; attempts/latency components retained.</x:t>
  </x:si>
  <x:si>
    <x:t xml:space="preserve">Difficulty understood; endpoint attainable; matched ability calibration; stop option neutral.</x:t>
  </x:si>
  <x:si>
    <x:t xml:space="preserve">RECOMMEND: preserves useful effort and avoids zero-utility contamination.</x:t>
  </x:si>
  <x:si>
    <x:t xml:space="preserve">Adaptive puzzle ladder</x:t>
  </x:si>
  <x:si>
    <x:t xml:space="preserve">adaptive persistence task</x:t>
  </x:si>
  <x:si>
    <x:t xml:space="preserve">Diagnostics Training</x:t>
  </x:si>
  <x:si>
    <x:t xml:space="preserve">Solve an attainable puzzle that advances through calibrated difficulty bands with strategy feedback.</x:t>
  </x:si>
  <x:si>
    <x:t xml:space="preserve">One M19-only ladder.</x:t>
  </x:si>
  <x:si>
    <x:t xml:space="preserve">Continued valid attempts and achieved level after tough onset.</x:t>
  </x:si>
  <x:si>
    <x:t xml:space="preserve">Pre-calibrated starting level; no impossible trials; equal feedback.</x:t>
  </x:si>
  <x:si>
    <x:t xml:space="preserve">Puzzle ability and gaming experience.</x:t>
  </x:si>
  <x:si>
    <x:t xml:space="preserve">RUNNER-UP: psychometrically controllable, less job-realistic.</x:t>
  </x:si>
  <x:si>
    <x:t xml:space="preserve">Resistant mechanical extraction</x:t>
  </x:si>
  <x:si>
    <x:t xml:space="preserve">physical persistence task</x:t>
  </x:si>
  <x:si>
    <x:t xml:space="preserve">Operate a multi-cycle extractor; effort requirement rises but each valid cycle shows real progress.</x:t>
  </x:si>
  <x:si>
    <x:t xml:space="preserve">One M19 window.</x:t>
  </x:si>
  <x:si>
    <x:t xml:space="preserve">Useful cycles and completion after resistance onset.</x:t>
  </x:si>
  <x:si>
    <x:t xml:space="preserve">Motor/accessibility equivalent; deterministic progress.</x:t>
  </x:si>
  <x:si>
    <x:t xml:space="preserve">Repetitive motor tolerance and device comprehension.</x:t>
  </x:si>
  <x:si>
    <x:t xml:space="preserve">RESERVE: visceral gameplay, stronger motor confound.</x:t>
  </x:si>
  <x:si>
    <x:t xml:space="preserve">sustained or resumed engagement on a difficult longitudinal task</x:t>
  </x:si>
  <x:si>
    <x:t xml:space="preserve">Begin a difficult multi-stage antenna restoration, leave for a required intervening duty, then receive a natural chance to resume and finish.</x:t>
  </x:si>
  <x:si>
    <x:t xml:space="preserve">Sustained progress, voluntary return and completion after difficulty is established.</x:t>
  </x:si>
  <x:si>
    <x:t xml:space="preserve">Task remains attainable and unchanged; return route guaranteed; interruption identical.</x:t>
  </x:si>
  <x:si>
    <x:t xml:space="preserve">RECOMMEND: captures “stick at a task” over time rather than duplicating M19 momentary toughness.</x:t>
  </x:si>
  <x:si>
    <x:t xml:space="preserve">Multi-stage document reconstruction</x:t>
  </x:si>
  <x:si>
    <x:t xml:space="preserve">longitudinal clerical work sample</x:t>
  </x:si>
  <x:si>
    <x:t xml:space="preserve">Records + Handover</x:t>
  </x:si>
  <x:si>
    <x:t xml:space="preserve">Work on a difficult corrupted record, park it for another duty, then return to finish.</x:t>
  </x:si>
  <x:si>
    <x:t xml:space="preserve">Two M20 windows.</x:t>
  </x:si>
  <x:si>
    <x:t xml:space="preserve">Re-engagement and completion across the break.</x:t>
  </x:si>
  <x:si>
    <x:t xml:space="preserve">All fragments available; same break; persistent state.</x:t>
  </x:si>
  <x:si>
    <x:t xml:space="preserve">Reading and document-search ability.</x:t>
  </x:si>
  <x:si>
    <x:t xml:space="preserve">RUNNER-UP: easy to standardize, less embodied.</x:t>
  </x:si>
  <x:si>
    <x:t xml:space="preserve">Three-axis alignment platform</x:t>
  </x:si>
  <x:si>
    <x:t xml:space="preserve">Align three signal axes through a recoverable difficulty increase; leaving and returning are possible.</x:t>
  </x:si>
  <x:si>
    <x:t xml:space="preserve">One M20 window.</x:t>
  </x:si>
  <x:si>
    <x:t xml:space="preserve">Stay/return/completion status.</x:t>
  </x:si>
  <x:si>
    <x:t xml:space="preserve">Matched difficulty and clear endpoint.</x:t>
  </x:si>
  <x:si>
    <x:t xml:space="preserve">Very similar to M19; ability and motor skill.</x:t>
  </x:si>
  <x:si>
    <x:t xml:space="preserve">REPLACE: insufficiently differentiated from M19.</x:t>
  </x:si>
  <x:si>
    <x:t xml:space="preserve">persistence with difficult information until usable understanding</x:t>
  </x:si>
  <x:si>
    <x:t xml:space="preserve">information persistence task</x:t>
  </x:si>
  <x:si>
    <x:t xml:space="preserve">Use a concise unfamiliar manual with cross-references to infer a repair rule and apply it to a novel component.</x:t>
  </x:si>
  <x:si>
    <x:t xml:space="preserve">Useful reference engagement, re-engagement and correct application; reading duration alone never primary.</x:t>
  </x:si>
  <x:si>
    <x:t xml:space="preserve">Language level calibrated; accessible audio/search equivalent; correct application attainable.</x:t>
  </x:si>
  <x:si>
    <x:t xml:space="preserve">RECOMMEND: outcome requires reaching usable understanding, not merely scrolling to the end.</x:t>
  </x:si>
  <x:si>
    <x:t xml:space="preserve">Fragmented logbook reconstruction</x:t>
  </x:si>
  <x:si>
    <x:t xml:space="preserve">Follow cross-references across log excerpts to reconstruct one difficult event and answer an applied question.</x:t>
  </x:si>
  <x:si>
    <x:t xml:space="preserve">One M21-owned document set.</x:t>
  </x:si>
  <x:si>
    <x:t xml:space="preserve">Continued valid reference use and correct reconstruction.</x:t>
  </x:si>
  <x:si>
    <x:t xml:space="preserve">All fragments present; navigation aids equal.</x:t>
  </x:si>
  <x:si>
    <x:t xml:space="preserve">Search skill and reading comprehension.</x:t>
  </x:si>
  <x:si>
    <x:t xml:space="preserve">RUNNER-UP: highly work-relevant, less literal “book until get it.”</x:t>
  </x:si>
  <x:si>
    <x:t xml:space="preserve">Dense command reference application</x:t>
  </x:si>
  <x:si>
    <x:t xml:space="preserve">reference-use task</x:t>
  </x:si>
  <x:si>
    <x:t xml:space="preserve">Use a supplied command manual to build a novel safe sequence; hints require returning to specific sections.</x:t>
  </x:si>
  <x:si>
    <x:t xml:space="preserve">One M21 window.</x:t>
  </x:si>
  <x:si>
    <x:t xml:space="preserve">Reference re-engagement and correct sequence.</x:t>
  </x:si>
  <x:si>
    <x:t xml:space="preserve">No coding knowledge; token entry; language accessible.</x:t>
  </x:si>
  <x:si>
    <x:t xml:space="preserve">Logical ability and syntax mapping.</x:t>
  </x:si>
  <x:si>
    <x:t xml:space="preserve">RESERVE: engaging but overlaps M18 and M16.</x:t>
  </x:si>
  <x:si>
    <x:t xml:space="preserve">recovery and useful re-engagement after a standardized setback</x:t>
  </x:si>
  <x:si>
    <x:t xml:space="preserve">setback-recovery work sample</x:t>
  </x:si>
  <x:si>
    <x:t xml:space="preserve">Submit a reasonable report; it is rejected for a standardized newly revealed criterion; participant can revise and resubmit.</x:t>
  </x:si>
  <x:si>
    <x:t xml:space="preserve">Useful re-engagement, revision and recovery completion.</x:t>
  </x:si>
  <x:si>
    <x:t xml:space="preserve">Initial response valid; feedback understood; recovery attainable; no blame framing.</x:t>
  </x:si>
  <x:si>
    <x:t xml:space="preserve">RECOMMEND: psychologically credible setback with clear recovery, lower mechanical confounding.</x:t>
  </x:si>
  <x:si>
    <x:t xml:space="preserve">Relay repair reveals new condition</x:t>
  </x:si>
  <x:si>
    <x:t xml:space="preserve">setback-recovery task</x:t>
  </x:si>
  <x:si>
    <x:t xml:space="preserve">A first valid repair fails because a standardized new condition appears; a clear recovery path remains.</x:t>
  </x:si>
  <x:si>
    <x:t xml:space="preserve">One M22 window after failure.</x:t>
  </x:si>
  <x:si>
    <x:t xml:space="preserve">Re-engagement and recovery completion.</x:t>
  </x:si>
  <x:si>
    <x:t xml:space="preserve">Initial approach valid; failure not random; new condition understood.</x:t>
  </x:si>
  <x:si>
    <x:t xml:space="preserve">Mechanical ability and whether failure feels unfair.</x:t>
  </x:si>
  <x:si>
    <x:t xml:space="preserve">RUNNER-UP: immersive, attribution control is harder.</x:t>
  </x:si>
  <x:si>
    <x:t xml:space="preserve">Storm partially resets completed work</x:t>
  </x:si>
  <x:si>
    <x:t xml:space="preserve">A previously completed low-stakes configuration is partially reset by a scripted storm pulse; participant may restore it.</x:t>
  </x:si>
  <x:si>
    <x:t xml:space="preserve">One M22 window; prior work used only to establish competence, not scored.</x:t>
  </x:si>
  <x:si>
    <x:t xml:space="preserve">Re-engagement and restoration.</x:t>
  </x:si>
  <x:si>
    <x:t xml:space="preserve">Reset magnitude identical; alternative tasks available; no lost rewards.</x:t>
  </x:si>
  <x:si>
    <x:t xml:space="preserve">Annoyance, memory and perceived unfairness.</x:t>
  </x:si>
  <x:si>
    <x:t xml:space="preserve">RESERVE: vivid but could induce frustration unrelated to resilience.</x:t>
  </x:si>
  <x:si>
    <x:t xml:space="preserve">continued strategy-relevant attempts on an attainable hard task</x:t>
  </x:si>
  <x:si>
    <x:t xml:space="preserve">hard-task persistence</x:t>
  </x:si>
  <x:si>
    <x:t xml:space="preserve">Debug a difficult but attainable tokenized control script; each valid test gives diagnostic feedback and multiple strategies exist.</x:t>
  </x:si>
  <x:si>
    <x:t xml:space="preserve">Useful strategy changes, valid retries and completion; identical repetition excluded.</x:t>
  </x:si>
  <x:si>
    <x:t xml:space="preserve">Task calibrated; feedback informative; no zero-utility state; reference available.</x:t>
  </x:si>
  <x:si>
    <x:t xml:space="preserve">RECOMMEND: “keep trying” is evidenced by useful adaptive attempts, not button repetition.</x:t>
  </x:si>
  <x:si>
    <x:t xml:space="preserve">Controlled magnet-salvage recovery</x:t>
  </x:si>
  <x:si>
    <x:t xml:space="preserve">NEW / CURRENT MECHANIC REFRAMED</x:t>
  </x:si>
  <x:si>
    <x:t xml:space="preserve">skill minigame</x:t>
  </x:si>
  <x:si>
    <x:t xml:space="preserve">Recycler / Exterior Recovery</x:t>
  </x:si>
  <x:si>
    <x:t xml:space="preserve">Complete a deterministic sequence of increasingly difficult magnet catches with visible progress and strategy-relevant timing.</x:t>
  </x:si>
  <x:si>
    <x:t xml:space="preserve">One M23-owned hard-task deck; rewards fixed and non-scoring.</x:t>
  </x:si>
  <x:si>
    <x:t xml:space="preserve">Valid attempts, adaptation and completion after hard onset.</x:t>
  </x:si>
  <x:si>
    <x:t xml:space="preserve">Motor/accessibility calibration; deterministic deck; no exhaustion/zero-benefit state.</x:t>
  </x:si>
  <x:si>
    <x:t xml:space="preserve">Reaction time, motor skill and device latency.</x:t>
  </x:si>
  <x:si>
    <x:t xml:space="preserve">RUNNER-UP: strongest action feel, requires accessibility-equivalent control.</x:t>
  </x:si>
  <x:si>
    <x:t xml:space="preserve">Resistant sample extraction strategies</x:t>
  </x:si>
  <x:si>
    <x:t xml:space="preserve">physical problem task</x:t>
  </x:si>
  <x:si>
    <x:t xml:space="preserve">Use up to three valid strategies to free a resistant sample; progress information stays visible.</x:t>
  </x:si>
  <x:si>
    <x:t xml:space="preserve">One M23 window.</x:t>
  </x:si>
  <x:si>
    <x:t xml:space="preserve">Useful continued attempts and completion.</x:t>
  </x:si>
  <x:si>
    <x:t xml:space="preserve">All strategies discoverable; task attainable.</x:t>
  </x:si>
  <x:si>
    <x:t xml:space="preserve">Strategy discovery and motor ability.</x:t>
  </x:si>
  <x:si>
    <x:t xml:space="preserve">RESERVE: good gameplay but overlaps M19 unless difficulty structure is carefully separated.</x:t>
  </x:si>
  <x:si>
    <x:t xml:space="preserve">continuation after objective utility has ended</x:t>
  </x:si>
  <x:si>
    <x:t xml:space="preserve">utility-stop task</x:t>
  </x:si>
  <x:si>
    <x:t xml:space="preserve">Three useful service cycles produce output; then the bot demonstrates an explicit zero-benefit state and offers a neutral useful alternative.</x:t>
  </x:si>
  <x:si>
    <x:t xml:space="preserve">Identical cycles completed after zero benefit is noticed and comprehension confirmed.</x:t>
  </x:si>
  <x:si>
    <x:t xml:space="preserve">Zero utility objectively true; signal understood; alternative available; no random jackpot after exhaustion.</x:t>
  </x:si>
  <x:si>
    <x:t xml:space="preserve">RECOMMEND: closest match to “no point in carrying on.”</x:t>
  </x:si>
  <x:si>
    <x:t xml:space="preserve">Exhausted recycler / magnet deck</x:t>
  </x:si>
  <x:si>
    <x:t xml:space="preserve">Recycler</x:t>
  </x:si>
  <x:si>
    <x:t xml:space="preserve">A deterministic salvage deck produces fixed returns, then an explicit empty state; the winch remains usable and another useful job is visible.</x:t>
  </x:si>
  <x:si>
    <x:t xml:space="preserve">One M24 post-exhaustion window; never reuse M23 catch events.</x:t>
  </x:si>
  <x:si>
    <x:t xml:space="preserve">Post-depletion casts after confirmed understanding.</x:t>
  </x:si>
  <x:si>
    <x:t xml:space="preserve">No chance of rare reward after depletion; deck order counterbalanced; knowledge check.</x:t>
  </x:si>
  <x:si>
    <x:t xml:space="preserve">Suspicion of hidden rewards and exploration norms.</x:t>
  </x:si>
  <x:si>
    <x:t xml:space="preserve">RUNNER-UP: strong game mechanic, player may rationally test depletion once.</x:t>
  </x:si>
  <x:si>
    <x:t xml:space="preserve">Failing project continuation choice</x:t>
  </x:si>
  <x:si>
    <x:t xml:space="preserve">escalation-of-commitment paradigm</x:t>
  </x:si>
  <x:si>
    <x:t xml:space="preserve">Incident Board</x:t>
  </x:si>
  <x:si>
    <x:t xml:space="preserve">After prior investment, a forecast states the project has zero future benefit and a better alternative is available; choose continue or stop.</x:t>
  </x:si>
  <x:si>
    <x:t xml:space="preserve">One M24 decision plus optional continuation actions.</x:t>
  </x:si>
  <x:si>
    <x:t xml:space="preserve">Continuation after forecast comprehension.</x:t>
  </x:si>
  <x:si>
    <x:t xml:space="preserve">Sunk costs fixed; forecast credible; future outcomes explicit.</x:t>
  </x:si>
  <x:si>
    <x:t xml:space="preserve">Escalation/sunk-cost bias is related but not identical to broad IP item.</x:t>
  </x:si>
  <x:si>
    <x:t xml:space="preserve">RESERVE: research-grounded alternative, construct divergence requires validation.</x:t>
  </x:si>
  <x:si>
    <x:t xml:space="preserve">unchanged repetition after an action is known to be ineffective</x:t>
  </x:si>
  <x:si>
    <x:t xml:space="preserve">ineffective-repetition task</x:t>
  </x:si>
  <x:si>
    <x:t xml:space="preserve">A command works twice, then the console reports a lock and states that unchanged input will repeat the same failure; an edit/reset route is available.</x:t>
  </x:si>
  <x:si>
    <x:t xml:space="preserve">Count of unchanged resubmissions before any valid modification.</x:t>
  </x:si>
  <x:si>
    <x:t xml:space="preserve">Input bounce suppressed; lock understood; reset visible; no hidden success chance.</x:t>
  </x:si>
  <x:si>
    <x:t xml:space="preserve">RECOMMEND: isolates “same thing over and over” more cleanly than a physical button.</x:t>
  </x:si>
  <x:si>
    <x:t xml:space="preserve">Locked coolant pump repetition</x:t>
  </x:si>
  <x:si>
    <x:t xml:space="preserve">Pump works twice, then a visible mechanical lock engages; a different reset strategy is available.</x:t>
  </x:si>
  <x:si>
    <x:t xml:space="preserve">One M25 post-lock window.</x:t>
  </x:si>
  <x:si>
    <x:t xml:space="preserve">Unchanged pump actions after confirmed lock.</x:t>
  </x:si>
  <x:si>
    <x:t xml:space="preserve">Lock salient; action debounce; reset understood.</x:t>
  </x:si>
  <x:si>
    <x:t xml:space="preserve">Motor repetition, curiosity and unclear normality belief.</x:t>
  </x:si>
  <x:si>
    <x:t xml:space="preserve">RUNNER-UP: embodied, but signal interpretation and input bounce are risks.</x:t>
  </x:si>
  <x:si>
    <x:t xml:space="preserve">Jammed sorter requiring tool switch</x:t>
  </x:si>
  <x:si>
    <x:t xml:space="preserve">A sorter jams; repeating the same lever cannot work and the manual indicates a tool switch.</x:t>
  </x:si>
  <x:si>
    <x:t xml:space="preserve">One M25 window.</x:t>
  </x:si>
  <x:si>
    <x:t xml:space="preserve">Same-lever repetitions after comprehension.</x:t>
  </x:si>
  <x:si>
    <x:t xml:space="preserve">Manual cue understood; new tool available.</x:t>
  </x:si>
  <x:si>
    <x:t xml:space="preserve">Reading, search and exploration behavior.</x:t>
  </x:si>
  <x:si>
    <x:t xml:space="preserve">RESERVE: realistic but repeats M21 reference-use demands.</x:t>
  </x:si>
  <x:si>
    <x:t xml:space="preserve">continued effort after worthlessness is understood</x:t>
  </x:si>
  <x:si>
    <x:t xml:space="preserve">known-futility task</x:t>
  </x:si>
  <x:si>
    <x:t xml:space="preserve">Participant first sends successfully; the channel is then physically disconnected, status is demonstrated and acknowledged, while a working channel is available.</x:t>
  </x:si>
  <x:si>
    <x:t xml:space="preserve">Transmissions/actions on the disconnected channel after verified knowledge.</x:t>
  </x:si>
  <x:si>
    <x:t xml:space="preserve">Worthlessness established beyond doubt; alternative equally accessible; no secret recovery.</x:t>
  </x:si>
  <x:si>
    <x:t xml:space="preserve">RECOMMEND: strongest knowledge condition and low navigation confound.</x:t>
  </x:si>
  <x:si>
    <x:t xml:space="preserve">Depleted cache search</x:t>
  </x:si>
  <x:si>
    <x:t xml:space="preserve">known-futility search task</x:t>
  </x:si>
  <x:si>
    <x:t xml:space="preserve">After one successful cache, a second bounded cache is explicitly confirmed depleted and acknowledged; scanning/digging stays possible and a useful alternative is nearby.</x:t>
  </x:si>
  <x:si>
    <x:t xml:space="preserve">One M26 post-knowledge window; search area bounded; events never feed M24/M23.</x:t>
  </x:si>
  <x:si>
    <x:t xml:space="preserve">Post-acknowledgement scan/dig/search actions.</x:t>
  </x:si>
  <x:si>
    <x:t xml:space="preserve">Depletion demonstrably true; knowledge check; no hidden reward; identical terrain.</x:t>
  </x:si>
  <x:si>
    <x:t xml:space="preserve">Game convention that secret loot may exist, navigation and curiosity.</x:t>
  </x:si>
  <x:si>
    <x:t xml:space="preserve">RUNNER-UP: retains desired scan/dig action, but game norms make “worthless” harder to establish.</x:t>
  </x:si>
  <x:si>
    <x:t xml:space="preserve">Obsolete repair procedure continuation</x:t>
  </x:si>
  <x:si>
    <x:t xml:space="preserve">A procedure is superseded; participant acknowledges that old steps cannot affect the new controller and is shown the replacement route.</x:t>
  </x:si>
  <x:si>
    <x:t xml:space="preserve">Actions on obsolete procedure after acknowledgement.</x:t>
  </x:si>
  <x:si>
    <x:t xml:space="preserve">Old route truly disabled; replacement available; no penalty for switching.</x:t>
  </x:si>
  <x:si>
    <x:t xml:space="preserve">Comprehension and distrust of instructions.</x:t>
  </x:si>
  <x:si>
    <x:t xml:space="preserve">RESERVE: work-realistic, less playful.</x:t>
  </x:si>
  <x:si>
    <x:t xml:space="preserve">Shared-exercise evidence architecture</x:t>
  </x:si>
  <x:si>
    <x:t xml:space="preserve">This is a construct/evidence plan, not final map authority. The same episode can host several disjoint item windows.</x:t>
  </x:si>
  <x:si>
    <x:t xml:space="preserve">Episode concept</x:t>
  </x:si>
  <x:si>
    <x:t xml:space="preserve">Narrative purpose</x:t>
  </x:si>
  <x:si>
    <x:t xml:space="preserve">Items hosted</x:t>
  </x:si>
  <x:si>
    <x:t xml:space="preserve">Examples of owned windows</x:t>
  </x:si>
  <x:si>
    <x:t xml:space="preserve">Shared context allowed</x:t>
  </x:si>
  <x:si>
    <x:t xml:space="preserve">Primary evidence firewall</x:t>
  </x:si>
  <x:si>
    <x:t xml:space="preserve">Approx episode min</x:t>
  </x:si>
  <x:si>
    <x:t xml:space="preserve">Route implication</x:t>
  </x:si>
  <x:si>
    <x:t xml:space="preserve">Do not do</x:t>
  </x:si>
  <x:si>
    <x:t xml:space="preserve">1. Storm Arrival &amp; Incident Handover</x:t>
  </x:si>
  <x:si>
    <x:t xml:space="preserve">Participant arrives after a storm and assumes a restoration shift.</x:t>
  </x:si>
  <x:si>
    <x:t xml:space="preserve">M01, M05, M09-start, M10-start, M12, M14</x:t>
  </x:si>
  <x:si>
    <x:t xml:space="preserve">M01 planning board; M05 initiation clock; M09 monitoring duty acceptance; M10 explicit promise; M12 separate discrepancy; M14 independent incident packet.</x:t>
  </x:si>
  <x:si>
    <x:t xml:space="preserve">NPCs, room, story, controls and non-scored navigation.</x:t>
  </x:si>
  <x:si>
    <x:t xml:space="preserve">Each item has different documents/objects, window IDs and event families. No keystroke or timing stream is reused across primary items.</x:t>
  </x:si>
  <x:si>
    <x:t xml:space="preserve">One compact hub with clear exits; no dead-end orientation tour.</x:t>
  </x:si>
  <x:si>
    <x:t xml:space="preserve">Do not score global time, walking, reading or “responsiveness.”</x:t>
  </x:si>
  <x:si>
    <x:t xml:space="preserve">2. Workshop Restoration</x:t>
  </x:si>
  <x:si>
    <x:t xml:space="preserve">Restore station work capacity through actual work samples.</x:t>
  </x:si>
  <x:si>
    <x:t xml:space="preserve">M02, M03 occasions, M04, M06, M07, M11, M13, M16–M18</x:t>
  </x:si>
  <x:si>
    <x:t xml:space="preserve">Independent case workspace; tool reset; debris window; command dispatch; routine project; seal obligation; puzzle; protocol; trainer; diagnosis.</x:t>
  </x:si>
  <x:si>
    <x:t xml:space="preserve">Same workshop aesthetics, NPC team and inventory system.</x:t>
  </x:si>
  <x:si>
    <x:t xml:space="preserve">Independent standardized objects/cases and non-overlapping measurement windows; shared inventory state is contextual only.</x:t>
  </x:si>
  <x:si>
    <x:t xml:space="preserve">Several workstations in one legible room/adjacent bay, not a room per item.</x:t>
  </x:si>
  <x:si>
    <x:t xml:space="preserve">Do not infer organization from the general inventory or use puzzle actions for multiple cognitive items.</x:t>
  </x:si>
  <x:si>
    <x:t xml:space="preserve">3. Exterior Recovery</x:t>
  </x:si>
  <x:si>
    <x:t xml:space="preserve">Repair storm damage with physical, difficult-but-attainable work.</x:t>
  </x:si>
  <x:si>
    <x:t xml:space="preserve">M19, M20-start, M23, M26-alt</x:t>
  </x:si>
  <x:si>
    <x:t xml:space="preserve">Progressive valve; longitudinal antenna start; hard debug/salvage; separate disconnected/depleted option.</x:t>
  </x:si>
  <x:si>
    <x:t xml:space="preserve">Outdoor map, weather, tools and narrative objective.</x:t>
  </x:si>
  <x:si>
    <x:t xml:space="preserve">PDD windows contain useful progress only; M26 begins only after verified futility and uses a different target/event family.</x:t>
  </x:si>
  <x:si>
    <x:t xml:space="preserve">Explorable but bounded area with landmarks and return path.</x:t>
  </x:si>
  <x:si>
    <x:t xml:space="preserve">Do not convert wandering, missed objectives or inaccessible targets into persistence scores.</x:t>
  </x:si>
  <x:si>
    <x:t xml:space="preserve">4. Return, Revision &amp; Commitments</x:t>
  </x:si>
  <x:si>
    <x:t xml:space="preserve">Return with evidence, resolve setback and close longitudinal duties.</x:t>
  </x:si>
  <x:si>
    <x:t xml:space="preserve">M09-end, M10-end, M20-return, M21, M22</x:t>
  </x:si>
  <x:si>
    <x:t xml:space="preserve">Second monitor check; promise fulfilment; antenna resumption; technical-manual application; report rejection/revision.</x:t>
  </x:si>
  <x:si>
    <x:t xml:space="preserve">Return route and story continuity.</x:t>
  </x:si>
  <x:si>
    <x:t xml:space="preserve">Each duty has its own validity state. Navigation is never primary unless a future navigation construct is separately authorized.</x:t>
  </x:si>
  <x:si>
    <x:t xml:space="preserve">Purposeful return enables memory/navigation gameplay without silently scoring it.</x:t>
  </x:si>
  <x:si>
    <x:t xml:space="preserve">Do not score remembering the route as dependability, learning or persistence.</x:t>
  </x:si>
  <x:si>
    <x:t xml:space="preserve">5. Utility Closure &amp; Handover</x:t>
  </x:si>
  <x:si>
    <x:t xml:space="preserve">Close utilities and expose useful-to-futile transitions.</x:t>
  </x:si>
  <x:si>
    <x:t xml:space="preserve">M24, M25, M26, M03 second occasion</x:t>
  </x:si>
  <x:si>
    <x:t xml:space="preserve">Utility bot exhaustion; unchanged rejected command; disconnected channel; final workstation reset.</x:t>
  </x:si>
  <x:si>
    <x:t xml:space="preserve">Utility deck and closure narrative.</x:t>
  </x:si>
  <x:si>
    <x:t xml:space="preserve">Each IP item has a distinct target and knowledge check; PDD events cannot enter IP indicators.</x:t>
  </x:si>
  <x:si>
    <x:t xml:space="preserve">One utility deck plus final handover, then clear exit.</x:t>
  </x:si>
  <x:si>
    <x:t xml:space="preserve">Do not add random jackpot rewards after declaring utility zero; do not mix adaptive and inappropriate persistence.</x:t>
  </x:si>
  <x:si>
    <x:t xml:space="preserve">Example: several measures in one incident desk without reusing evidence</x:t>
  </x:si>
  <x:si>
    <x:t xml:space="preserve">Step</x:t>
  </x:si>
  <x:si>
    <x:t xml:space="preserve">Shared participant action</x:t>
  </x:si>
  <x:si>
    <x:t xml:space="preserve">M01 window</x:t>
  </x:si>
  <x:si>
    <x:t xml:space="preserve">M05 window</x:t>
  </x:si>
  <x:si>
    <x:t xml:space="preserve">M09 window</x:t>
  </x:si>
  <x:si>
    <x:t xml:space="preserve">M10 window</x:t>
  </x:si>
  <x:si>
    <x:t xml:space="preserve">M12 window</x:t>
  </x:si>
  <x:si>
    <x:t xml:space="preserve">M14 window</x:t>
  </x:si>
  <x:si>
    <x:t xml:space="preserve">Context only</x:t>
  </x:si>
  <x:si>
    <x:t xml:space="preserve">Invalid if</x:t>
  </x:si>
  <x:si>
    <x:t xml:space="preserve">Scientific interpretation</x:t>
  </x:si>
  <x:si>
    <x:t xml:space="preserve">Read non-scored shift briefing</x:t>
  </x:si>
  <x:si>
    <x:t xml:space="preserve">Briefing comprehension</x:t>
  </x:si>
  <x:si>
    <x:t xml:space="preserve">No trait inference</x:t>
  </x:si>
  <x:si>
    <x:t xml:space="preserve">Open planning board</x:t>
  </x:si>
  <x:si>
    <x:t xml:space="preserve">Own board edits/transitions</x:t>
  </x:si>
  <x:si>
    <x:t xml:space="preserve">Room/UI</x:t>
  </x:si>
  <x:si>
    <x:t xml:space="preserve">Board state differs</x:t>
  </x:si>
  <x:si>
    <x:t xml:space="preserve">Systematic process only</x:t>
  </x:si>
  <x:si>
    <x:t xml:space="preserve">Board closes; visible fault available</x:t>
  </x:si>
  <x:si>
    <x:t xml:space="preserve">Own initiation timestamp</x:t>
  </x:si>
  <x:si>
    <x:t xml:space="preserve">Fault inaccessible</x:t>
  </x:si>
  <x:si>
    <x:t xml:space="preserve">Task initiation only</x:t>
  </x:si>
  <x:si>
    <x:t xml:space="preserve">Accept monitor duty and delivery promise</x:t>
  </x:si>
  <x:si>
    <x:t xml:space="preserve">Own acceptance/due events</x:t>
  </x:si>
  <x:si>
    <x:t xml:space="preserve">Own promise acceptance</x:t>
  </x:si>
  <x:si>
    <x:t xml:space="preserve">NPC/story</x:t>
  </x:si>
  <x:si>
    <x:t xml:space="preserve">Acceptance not understood</x:t>
  </x:si>
  <x:si>
    <x:t xml:space="preserve">Separate M09 and M10 commitments</x:t>
  </x:si>
  <x:si>
    <x:t xml:space="preserve">Inspect independent quality packet</x:t>
  </x:si>
  <x:si>
    <x:t xml:space="preserve">Own error detection/correction</x:t>
  </x:si>
  <x:si>
    <x:t xml:space="preserve">Desk/story</x:t>
  </x:si>
  <x:si>
    <x:t xml:space="preserve">Error missing</x:t>
  </x:si>
  <x:si>
    <x:t xml:space="preserve">Careful checking only</x:t>
  </x:si>
  <x:si>
    <x:t xml:space="preserve">Open independent incident packet</x:t>
  </x:si>
  <x:si>
    <x:t xml:space="preserve">Own source-link events</x:t>
  </x:si>
  <x:si>
    <x:t xml:space="preserve">Sources missing</x:t>
  </x:si>
  <x:si>
    <x:t xml:space="preserve">Information handling only</x:t>
  </x:si>
  <x:si>
    <x:t xml:space="preserve">Action and mechanic library</x:t>
  </x:si>
  <x:si>
    <x:t xml:space="preserve">Actions are interaction primitives. They become evidence only inside an item-owned, valid measurement window.</x:t>
  </x:si>
  <x:si>
    <x:t xml:space="preserve">Action / mechanic</x:t>
  </x:si>
  <x:si>
    <x:t xml:space="preserve">Good uses</x:t>
  </x:si>
  <x:si>
    <x:t xml:space="preserve">Poor or prohibited uses</x:t>
  </x:si>
  <x:si>
    <x:t xml:space="preserve">Key controls</x:t>
  </x:si>
  <x:si>
    <x:t xml:space="preserve">Relevant recommended items</x:t>
  </x:si>
  <x:si>
    <x:t xml:space="preserve">Game-design note</x:t>
  </x:si>
  <x:si>
    <x:t xml:space="preserve">Open/read/annotate documents</x:t>
  </x:si>
  <x:si>
    <x:t xml:space="preserve">M01 planning, M14 information load, M15 synthesis, M21 information persistence</x:t>
  </x:si>
  <x:si>
    <x:t xml:space="preserve">Never score raw reading time across the whole game; never infer M21 from scrolling alone.</x:t>
  </x:si>
  <x:si>
    <x:t xml:space="preserve">Language/accessibility mode, comprehension, source visibility.</x:t>
  </x:si>
  <x:si>
    <x:t xml:space="preserve">M01, M14, M15, M21</x:t>
  </x:si>
  <x:si>
    <x:t xml:space="preserve">Use compact adult work packets, searchable tabs and physical desk affordances.</x:t>
  </x:si>
  <x:si>
    <x:t xml:space="preserve">Drag/place/sort</x:t>
  </x:si>
  <x:si>
    <x:t xml:space="preserve">Workspace organization, tidy reset, network puzzle</x:t>
  </x:si>
  <x:si>
    <x:t xml:space="preserve">Do not reuse one placement for M02 and M03; avoid “correct bin = trait” without construct evidence.</x:t>
  </x:si>
  <x:si>
    <x:t xml:space="preserve">Motor/keyboard equivalence, visibility, independent entry state.</x:t>
  </x:si>
  <x:si>
    <x:t xml:space="preserve">M02, M03, M13</x:t>
  </x:si>
  <x:si>
    <x:t xml:space="preserve">Objects should move in the world with clear hover/slot feedback, not menu-only cards.</x:t>
  </x:si>
  <x:si>
    <x:t xml:space="preserve">Pseudo-command tokens</x:t>
  </x:si>
  <x:si>
    <x:t xml:space="preserve">Efficiency, novel information, logical debugging, hard-task persistence</x:t>
  </x:si>
  <x:si>
    <x:t xml:space="preserve">Do not require actual coding or reuse the same script across M06/M16/M18/M23.</x:t>
  </x:si>
  <x:si>
    <x:t xml:space="preserve">Reference sheet, typing-free tokens, matched forms.</x:t>
  </x:si>
  <x:si>
    <x:t xml:space="preserve">M06, M16, M18, M23</x:t>
  </x:si>
  <x:si>
    <x:t xml:space="preserve">Retro command console is adult, game-like and objectively loggable.</x:t>
  </x:si>
  <x:si>
    <x:t xml:space="preserve">Inspect/compare/correct</x:t>
  </x:si>
  <x:si>
    <x:t xml:space="preserve">Carelessness and quality control</x:t>
  </x:si>
  <x:si>
    <x:t xml:space="preserve">Do not score general looking-around or all error detections.</x:t>
  </x:si>
  <x:si>
    <x:t xml:space="preserve">One standardized error, no time pressure, accessible alternative.</x:t>
  </x:si>
  <x:si>
    <x:t xml:space="preserve">Use physical assembly and source records rather than multiple-choice answer text.</x:t>
  </x:si>
  <x:si>
    <x:t xml:space="preserve">Start/accept/commit</x:t>
  </x:si>
  <x:si>
    <x:t xml:space="preserve">Initiation, scheduled duty, explicit promise</x:t>
  </x:si>
  <x:si>
    <x:t xml:space="preserve">Do not interpret scene-load latency or unaccepted requests as low trait.</x:t>
  </x:si>
  <x:si>
    <x:t xml:space="preserve">Comprehension, fixed access, focus/input state.</x:t>
  </x:si>
  <x:si>
    <x:t xml:space="preserve">M05, M09, M10</x:t>
  </x:si>
  <x:si>
    <x:t xml:space="preserve">A mission journal can support play without becoming primary evidence.</x:t>
  </x:si>
  <x:si>
    <x:t xml:space="preserve">Clean/stow/close</x:t>
  </x:si>
  <x:si>
    <x:t xml:space="preserve">Tidiness and mess cleanup</x:t>
  </x:si>
  <x:si>
    <x:t xml:space="preserve">Do not combine M03 tool return with M04 debris; do not make cleanup mandatory.</x:t>
  </x:si>
  <x:si>
    <x:t xml:space="preserve">Standard object count, non-gating exit, neutral cues.</x:t>
  </x:si>
  <x:si>
    <x:t xml:space="preserve">M03, M04</x:t>
  </x:si>
  <x:si>
    <x:t xml:space="preserve">Animate visible state change and preserve optionality.</x:t>
  </x:si>
  <x:si>
    <x:t xml:space="preserve">Scan</x:t>
  </x:si>
  <x:si>
    <x:t xml:space="preserve">Search feedback, novel information, bounded exploration</x:t>
  </x:si>
  <x:si>
    <x:t xml:space="preserve">Do not score arbitrary map scanning as diligence/persistence; no cross-room global scan count.</x:t>
  </x:si>
  <x:si>
    <x:t xml:space="preserve">Truthful radius, bounded target, action cooldown, accessibility.</x:t>
  </x:si>
  <x:si>
    <x:t xml:space="preserve">Possible context for M16 or M26 only if item-owned</x:t>
  </x:si>
  <x:si>
    <x:t xml:space="preserve">C-key field action can remain gameplay without always being psychometric evidence.</x:t>
  </x:si>
  <x:si>
    <x:t xml:space="preserve">Dig</x:t>
  </x:si>
  <x:si>
    <x:t xml:space="preserve">Physical recovery, known-futility test only after knowledge</x:t>
  </x:si>
  <x:si>
    <x:t xml:space="preserve">Do not infer persistence from random digging or inaccessible loot.</x:t>
  </x:si>
  <x:si>
    <x:t xml:space="preserve">Valid terrain, deterministic target state, no hidden reward after depletion.</x:t>
  </x:si>
  <x:si>
    <x:t xml:space="preserve">Possible M26 alternative</x:t>
  </x:si>
  <x:si>
    <x:t xml:space="preserve">D-key action should alter terrain and give truthful feedback.</x:t>
  </x:si>
  <x:si>
    <x:t xml:space="preserve">Winch / magnet salvage</x:t>
  </x:si>
  <x:si>
    <x:t xml:space="preserve">Hard-task persistence or exhausted-utility alternative</x:t>
  </x:si>
  <x:si>
    <x:t xml:space="preserve">Never use the same casts for M23 and M24; random jackpot after depletion invalidates futility.</x:t>
  </x:si>
  <x:si>
    <x:t xml:space="preserve">Deterministic deck, latency calibration, accessibility equivalent.</x:t>
  </x:si>
  <x:si>
    <x:t xml:space="preserve">M23 OR M24, not both in one stream</x:t>
  </x:si>
  <x:si>
    <x:t xml:space="preserve">Keep action minigame, separate targets/decks/windows.</x:t>
  </x:si>
  <x:si>
    <x:t xml:space="preserve">Monitor/check-in</x:t>
  </x:si>
  <x:si>
    <x:t xml:space="preserve">Repeated dependability occasions</x:t>
  </x:si>
  <x:si>
    <x:t xml:space="preserve">Do not use general route time or missed navigation as failure.</x:t>
  </x:si>
  <x:si>
    <x:t xml:space="preserve">Fixed reminders, guaranteed access, identical timing.</x:t>
  </x:si>
  <x:si>
    <x:t xml:space="preserve">Creates meaningful return route and memory demand as secondary telemetry.</x:t>
  </x:si>
  <x:si>
    <x:t xml:space="preserve">NPC promise/handover</x:t>
  </x:si>
  <x:si>
    <x:t xml:space="preserve">Reliability and responsibility</x:t>
  </x:si>
  <x:si>
    <x:t xml:space="preserve">Do not infer traits from dialogue-choice wording alone.</x:t>
  </x:si>
  <x:si>
    <x:t xml:space="preserve">Explicit acceptance, recipient availability, persistent log.</x:t>
  </x:si>
  <x:si>
    <x:t xml:space="preserve">M10, M11</x:t>
  </x:si>
  <x:si>
    <x:t xml:space="preserve">NPCs should create social stakes, while evidence is fulfillment behavior.</x:t>
  </x:si>
  <x:si>
    <x:t xml:space="preserve">Failure/setback/retry</x:t>
  </x:si>
  <x:si>
    <x:t xml:space="preserve">Adaptive PDD or inappropriate persistence after utility ends</x:t>
  </x:si>
  <x:si>
    <x:t xml:space="preserve">Never combine useful and futile retries in one score.</x:t>
  </x:si>
  <x:si>
    <x:t xml:space="preserve">Clear state transition, knowledge check, attainable recovery or verified zero utility.</x:t>
  </x:si>
  <x:si>
    <x:t xml:space="preserve">M19, M22, M23 vs M24–M26</x:t>
  </x:si>
  <x:si>
    <x:t xml:space="preserve">Visual/audio feedback must make utility state truthful and neutral.</x:t>
  </x:si>
  <x:si>
    <x:t xml:space="preserve">Walk/navigate/search route</x:t>
  </x:si>
  <x:si>
    <x:t xml:space="preserve">Secondary ecological/process telemetry; possible future separate navigation construct</x:t>
  </x:si>
  <x:si>
    <x:t xml:space="preserve">Never primary evidence for existing M01–M26 without separate authorization.</x:t>
  </x:si>
  <x:si>
    <x:t xml:space="preserve">Comparable route access, focus, collisions, map visibility.</x:t>
  </x:si>
  <x:si>
    <x:t xml:space="preserve">None currently</x:t>
  </x:si>
  <x:si>
    <x:t xml:space="preserve">Can support a Pokémon-like world and returns without being silently psychometric.</x:t>
  </x:si>
  <x:si>
    <x:t xml:space="preserve">Measurement design rules and development gates</x:t>
  </x:si>
  <x:si>
    <x:t xml:space="preserve">These rules preserve flexibility at the episode level while preventing evidence contamination.</x:t>
  </x:si>
  <x:si>
    <x:t xml:space="preserve">Rule</x:t>
  </x:si>
  <x:si>
    <x:t xml:space="preserve">Operational requirement</x:t>
  </x:si>
  <x:si>
    <x:t xml:space="preserve">Why it matters</x:t>
  </x:si>
  <x:si>
    <x:t xml:space="preserve">Pass example</x:t>
  </x:si>
  <x:si>
    <x:t xml:space="preserve">Fail example</x:t>
  </x:si>
  <x:si>
    <x:t xml:space="preserve">Gate</x:t>
  </x:si>
  <x:si>
    <x:t xml:space="preserve">Broader episode ≠ shared score</x:t>
  </x:si>
  <x:si>
    <x:t xml:space="preserve">A realistic episode may host several item windows, but each window owns different task objects, raw events and candidate components.</x:t>
  </x:si>
  <x:si>
    <x:t xml:space="preserve">Assessment-center exercises can activate multiple constructs; inference still requires dimension-specific evidence.</x:t>
  </x:si>
  <x:si>
    <x:t xml:space="preserve">Incident desk hosts M01 planning and M14 information load using independent packets.</x:t>
  </x:si>
  <x:si>
    <x:t xml:space="preserve">Same document moves are counted as both organization and information processing.</x:t>
  </x:si>
  <x:si>
    <x:t xml:space="preserve">Design review</x:t>
  </x:si>
  <x:si>
    <x:t xml:space="preserve">One item may span occasions</x:t>
  </x:si>
  <x:si>
    <x:t xml:space="preserve">Repeated observations may aggregate only within the same item and only across pre-specified valid occasions.</x:t>
  </x:si>
  <x:si>
    <x:t xml:space="preserve">Behavior aggregation can improve reliability and generalization beyond a single act.</x:t>
  </x:si>
  <x:si>
    <x:t xml:space="preserve">M09 combines two item-owned monitoring checks.</x:t>
  </x:si>
  <x:si>
    <x:t xml:space="preserve">Whole-game “responsible actions” are pooled for M09–M12.</x:t>
  </x:si>
  <x:si>
    <x:t xml:space="preserve">Evidence-model review</x:t>
  </x:si>
  <x:si>
    <x:t xml:space="preserve">No global behavioral shortcuts</x:t>
  </x:si>
  <x:si>
    <x:t xml:space="preserve">Global time, walking, clicks, completion or exploration are context/telemetry unless a separate construct and opportunity are authorized.</x:t>
  </x:si>
  <x:si>
    <x:t xml:space="preserve">These streams are highly confounded and invite post-hoc storytelling.</x:t>
  </x:si>
  <x:si>
    <x:t xml:space="preserve">M05 clock starts after comprehension at a fixed reachable task.</x:t>
  </x:si>
  <x:si>
    <x:t xml:space="preserve">Fast total game time is labelled efficiency.</x:t>
  </x:si>
  <x:si>
    <x:t xml:space="preserve">Scientific review</x:t>
  </x:si>
  <x:si>
    <x:t xml:space="preserve">Trait opportunity strength</x:t>
  </x:si>
  <x:si>
    <x:t xml:space="preserve">Provide relevant cues and behavioral freedom; avoid instructions so strong that nearly everyone must act identically.</x:t>
  </x:si>
  <x:si>
    <x:t xml:space="preserve">Trait activation requires cues, while excessive situational strength suppresses individual differences.</x:t>
  </x:si>
  <x:si>
    <x:t xml:space="preserve">Optional but clearly useful cleanup with neutral exit.</x:t>
  </x:si>
  <x:si>
    <x:t xml:space="preserve">NPC explicitly orders every object to be cleaned before the door opens.</x:t>
  </x:si>
  <x:si>
    <x:t xml:space="preserve">Task-design review</x:t>
  </x:si>
  <x:si>
    <x:t xml:space="preserve">Capacity versus typical behavior</x:t>
  </x:si>
  <x:si>
    <x:t xml:space="preserve">BESSI performance tasks may emphasize capacity; BFI items need opportunities for typical behavior, not only ability tests.</x:t>
  </x:si>
  <x:si>
    <x:t xml:space="preserve">The source constructs differ.</x:t>
  </x:si>
  <x:si>
    <x:t xml:space="preserve">M17 transfer accuracy after teaching; M03 optional repeated reset.</x:t>
  </x:si>
  <x:si>
    <x:t xml:space="preserve">Use puzzle success as evidence for conscientious organization.</x:t>
  </x:si>
  <x:si>
    <x:t xml:space="preserve">Construct review</x:t>
  </x:si>
  <x:si>
    <x:t xml:space="preserve">Adaptive versus inappropriate persistence</x:t>
  </x:si>
  <x:si>
    <x:t xml:space="preserve">PDD tasks remain attainable and informative; IP tasks require verified zero utility/ineffectiveness/worthlessness.</x:t>
  </x:si>
  <x:si>
    <x:t xml:space="preserve">Howard–Crayne dimensions are distinct and should not be mixed.</x:t>
  </x:si>
  <x:si>
    <x:t xml:space="preserve">M23 feedback-rich hard debugging; M24 explicit output exhaustion.</x:t>
  </x:si>
  <x:si>
    <x:t xml:space="preserve">All retries enter one persistence score.</x:t>
  </x:si>
  <x:si>
    <x:t xml:space="preserve">Missing/invalid ≠ low</x:t>
  </x:si>
  <x:si>
    <x:t xml:space="preserve">If presentation, entry state, comprehension, access or logging is invalid, record missing/invalid.</x:t>
  </x:si>
  <x:si>
    <x:t xml:space="preserve">Opportunity failure is not participant trait evidence.</x:t>
  </x:si>
  <x:si>
    <x:t xml:space="preserve">Route blocked → invalid_route.</x:t>
  </x:si>
  <x:si>
    <x:t xml:space="preserve">Route blocked → low dependability.</x:t>
  </x:si>
  <x:si>
    <x:t xml:space="preserve">Runtime/data QA</x:t>
  </x:si>
  <x:si>
    <x:t xml:space="preserve">Candidate semantics only</x:t>
  </x:si>
  <x:si>
    <x:t xml:space="preserve">Event names, formulas, weights, cut scores and norms require separate authority and empirical validation.</x:t>
  </x:si>
  <x:si>
    <x:t xml:space="preserve">This workbook compares designs; it does not establish a scoring system.</x:t>
  </x:si>
  <x:si>
    <x:t xml:space="preserve">Retain component measures for pilot analysis.</x:t>
  </x:si>
  <x:si>
    <x:t xml:space="preserve">Deploy weighted “good player” score.</x:t>
  </x:si>
  <x:si>
    <x:t xml:space="preserve">Research-owner ruling</x:t>
  </x:si>
  <x:si>
    <x:t xml:space="preserve">30-minute hard cap</x:t>
  </x:si>
  <x:si>
    <x:t xml:space="preserve">Recommended active time plus shared overhead must remain under 1,800 seconds in human testing.</x:t>
  </x:si>
  <x:si>
    <x:t xml:space="preserve">Burden and fatigue can contaminate later measures.</x:t>
  </x:si>
  <x:si>
    <x:t xml:space="preserve">Planned 1,520 sec total with buffer.</x:t>
  </x:si>
  <x:si>
    <x:t xml:space="preserve">Add all runner-up tasks as extra scored rooms.</x:t>
  </x:si>
  <x:si>
    <x:t xml:space="preserve">Human timing pilot</x:t>
  </x:si>
  <x:si>
    <x:t xml:space="preserve">Research sources</x:t>
  </x:si>
  <x:si>
    <x:t xml:space="preserve">Primary/authoritative sources used to compare method families and define limitations. Accessed 2026-08-19.</x:t>
  </x:si>
  <x:si>
    <x:t xml:space="preserve">Topic</x:t>
  </x:si>
  <x:si>
    <x:t xml:space="preserve">Citation / source</x:t>
  </x:si>
  <x:si>
    <x:t xml:space="preserve">URL</x:t>
  </x:si>
  <x:si>
    <x:t xml:space="preserve">Design implication</x:t>
  </x:si>
  <x:si>
    <x:t xml:space="preserve">S01</x:t>
  </x:si>
  <x:si>
    <x:t xml:space="preserve">Evidence-centered design</x:t>
  </x:si>
  <x:si>
    <x:t xml:space="preserve">Arieli-Attali et al. (2019), Expanded Evidence-Centered Design</x:t>
  </x:si>
  <x:si>
    <x:t xml:space="preserve">Requires explicit construct, evidence and task models; game actions need warrants before inference.</x:t>
  </x:si>
  <x:si>
    <x:t xml:space="preserve">S02</x:t>
  </x:si>
  <x:si>
    <x:t xml:space="preserve">Stealth/game assessment</x:t>
  </x:si>
  <x:si>
    <x:t xml:space="preserve">Kim &amp; Shute, Applying Evidence-Centered Design</x:t>
  </x:si>
  <x:si>
    <x:t xml:space="preserve">Game telemetry requires a pre-specified evidence model; multivariate models do not justify raw-event reuse.</x:t>
  </x:si>
  <x:si>
    <x:t xml:space="preserve">S03</x:t>
  </x:si>
  <x:si>
    <x:t xml:space="preserve">Game-related assessment review</x:t>
  </x:si>
  <x:si>
    <x:t xml:space="preserve">Ramos-Villagrasa et al. (2022)</x:t>
  </x:si>
  <x:si>
    <x:t xml:space="preserve">Construct validity, criterion validity and the type of game-based assessment remain central unresolved issues.</x:t>
  </x:si>
  <x:si>
    <x:t xml:space="preserve">S04</x:t>
  </x:si>
  <x:si>
    <x:t xml:space="preserve">Personality game validity</x:t>
  </x:si>
  <x:si>
    <x:t xml:space="preserve">Barends et al. (2022)</x:t>
  </x:si>
  <x:si>
    <x:t xml:space="preserve">Demonstrates the need to test convergence and prediction rather than infer validity from engagement.</x:t>
  </x:si>
  <x:si>
    <x:t xml:space="preserve">S05</x:t>
  </x:si>
  <x:si>
    <x:t xml:space="preserve">Trait activation</x:t>
  </x:si>
  <x:si>
    <x:t xml:space="preserve">Tett, Toich &amp; Ozkum (2021)</x:t>
  </x:si>
  <x:si>
    <x:t xml:space="preserve">Trait-relevant cues permit behavior expression; task, social and organizational cues matter.</x:t>
  </x:si>
  <x:si>
    <x:t xml:space="preserve">S06</x:t>
  </x:si>
  <x:si>
    <x:t xml:space="preserve">Assessment centers + trait activation</x:t>
  </x:si>
  <x:si>
    <x:t xml:space="preserve">Lievens (2008)</x:t>
  </x:si>
  <x:si>
    <x:t xml:space="preserve">One exercise may elicit several dimensions when cues and scoring are designed deliberately.</x:t>
  </x:si>
  <x:si>
    <x:t xml:space="preserve">S07</x:t>
  </x:si>
  <x:si>
    <x:t xml:space="preserve">Behavior aggregation</x:t>
  </x:si>
  <x:si>
    <x:t xml:space="preserve">Epstein (1983)</x:t>
  </x:si>
  <x:si>
    <x:t xml:space="preserve">Single acts are narrow/unreliable; aggregation across relevant acts can improve generalization.</x:t>
  </x:si>
  <x:si>
    <x:t xml:space="preserve">S08</x:t>
  </x:si>
  <x:si>
    <x:t xml:space="preserve">Situational strength</x:t>
  </x:si>
  <x:si>
    <x:t xml:space="preserve">Alaybek et al. (2017)</x:t>
  </x:si>
  <x:si>
    <x:t xml:space="preserve">Strong situational cues can attenuate personality–behavior relations; avoid over-commanding trait opportunities.</x:t>
  </x:si>
  <x:si>
    <x:t xml:space="preserve">S09</x:t>
  </x:si>
  <x:si>
    <x:t xml:space="preserve">Work-sample validity</x:t>
  </x:si>
  <x:si>
    <x:t xml:space="preserve">Roth, Bobko &amp; McFarland (2005)</x:t>
  </x:si>
  <x:si>
    <x:t xml:space="preserve">Work samples predict job performance but can be cognitively saturated; alternative explanations must be tested.</x:t>
  </x:si>
  <x:si>
    <x:t xml:space="preserve">S10</x:t>
  </x:si>
  <x:si>
    <x:t xml:space="preserve">Electronic in-basket</x:t>
  </x:si>
  <x:si>
    <x:t xml:space="preserve">Becker et al. (2019)</x:t>
  </x:si>
  <x:si>
    <x:t xml:space="preserve">Supports computerized in-basket simulation while illustrating construct-validity challenges.</x:t>
  </x:si>
  <x:si>
    <x:t xml:space="preserve">S11</x:t>
  </x:si>
  <x:si>
    <x:t xml:space="preserve">Computerized assessment-center exercise</x:t>
  </x:si>
  <x:si>
    <x:t xml:space="preserve">Lievens et al. (2010)</x:t>
  </x:si>
  <x:si>
    <x:t xml:space="preserve">Standardized computer simulations can collect behavioral samples of job-relevant activities.</x:t>
  </x:si>
  <x:si>
    <x:t xml:space="preserve">S12</x:t>
  </x:si>
  <x:si>
    <x:t xml:space="preserve">BFI-2</x:t>
  </x:si>
  <x:si>
    <x:t xml:space="preserve">Soto &amp; John (2017)</x:t>
  </x:si>
  <x:si>
    <x:t xml:space="preserve">Source for Organization, Productiveness and Responsibility facets; game remains an analogue, not wording replacement.</x:t>
  </x:si>
  <x:si>
    <x:t xml:space="preserve">S13</x:t>
  </x:si>
  <x:si>
    <x:t xml:space="preserve">Soto et al. (2022)</x:t>
  </x:si>
  <x:si>
    <x:t xml:space="preserve">BESSI assesses social, emotional and behavioral skills/capacities; current six items are Information Processing.</x:t>
  </x:si>
  <x:si>
    <x:t xml:space="preserve">S14</x:t>
  </x:si>
  <x:si>
    <x:t xml:space="preserve">Persistence dimensionality</x:t>
  </x:si>
  <x:si>
    <x:t xml:space="preserve">Howard &amp; Crayne (2019)</x:t>
  </x:si>
  <x:si>
    <x:t xml:space="preserve">Persistence Despite Difficulty and Inappropriate Persistence are distinct; never mix adaptive and futile effort.</x:t>
  </x:si>
  <x:si>
    <x:t xml:space="preserve">S15</x:t>
  </x:si>
  <x:si>
    <x:t xml:space="preserve">Behavioral persistence caveat</x:t>
  </x:si>
  <x:si>
    <x:t xml:space="preserve">Steinberg et al. (2013)</x:t>
  </x:si>
  <x:si>
    <x:t xml:space="preserve">Behavioral persistence tasks can reflect state affect/distress rather than the intended trait.</x:t>
  </x:si>
  <x:si>
    <x:t xml:space="preserve">S16</x:t>
  </x:si>
  <x:si>
    <x:t xml:space="preserve">Persistence task example</x:t>
  </x:si>
  <x:si>
    <x:t xml:space="preserve">PERC task</x:t>
  </x:si>
  <x:si>
    <x:t xml:space="preserve">Shows calibrated computer-based effort/persistence measurement with process evidence.</x:t>
  </x:si>
  <x:si>
    <x:t xml:space="preserve">S17</x:t>
  </x:si>
  <x:si>
    <x:t xml:space="preserve">Complex-problem microworld</x:t>
  </x:si>
  <x:si>
    <x:t xml:space="preserve">C3Fire study</x:t>
  </x:si>
  <x:si>
    <x:t xml:space="preserve">Microworlds can elicit dynamic decision behavior but impose training and interpretation burden.</x:t>
  </x:si>
  <x:si>
    <x:t xml:space="preserve">S18</x:t>
  </x:si>
  <x:si>
    <x:t xml:space="preserve">Game-based cognitive validation</x:t>
  </x:si>
  <x:si>
    <x:t xml:space="preserve">Frontiers in Psychology (2022)</x:t>
  </x:si>
  <x:si>
    <x:t xml:space="preserve">Illustrates convergent validity, reliability and fairness evidence needed for applied game-based assessment.</x:t>
  </x:si>
  <x:si>
    <x:t xml:space="preserve">S19</x:t>
  </x:si>
  <x:si>
    <x:t xml:space="preserve">Effort decision paradigms</x:t>
  </x:si>
  <x:si>
    <x:t xml:space="preserve">Bustamante et al. (2023), Effort Foraging Task</x:t>
  </x:si>
  <x:si>
    <x:t xml:space="preserve">Effort-cost tasks are useful competing paradigms but do not automatically equal “laziness.”</x:t>
  </x:si>
  <x:si>
    <x:t xml:space="preserve">S20</x:t>
  </x:si>
  <x:si>
    <x:t xml:space="preserve">Escalation / sunk cost</x:t>
  </x:si>
  <x:si>
    <x:t xml:space="preserve">Feldman et al. (2018)</x:t>
  </x:si>
  <x:si>
    <x:t xml:space="preserve">Escalation tasks are related alternatives for futile persistence but are not identical to Howard–Crayne IP items.</x:t>
  </x:si>
  <x:si>
    <x:t xml:space="preserve">S21</x:t>
  </x:si>
  <x:si>
    <x:t xml:space="preserve">Learning and transfer</x:t>
  </x:si>
  <x:si>
    <x:t xml:space="preserve">Chang et al. (2019)</x:t>
  </x:si>
  <x:si>
    <x:t xml:space="preserve">Learning rate should be demonstrated by novel transfer, not only faster repetition.</x:t>
  </x:si>
  <x:si>
    <x:t xml:space="preserve">S22</x:t>
  </x:si>
  <x:si>
    <x:t xml:space="preserve">Personnel-selection standards</x:t>
  </x:si>
  <x:si>
    <x:t xml:space="preserve">SIOP Principles</x:t>
  </x:si>
  <x:si>
    <x:t xml:space="preserve">Selection use requires validity, fairness, documentation and use-consistent evidence.</x:t>
  </x:si>
  <x:si>
    <x:t xml:space="preserve">Validation plan before any hiring interpretation</x:t>
  </x:si>
  <x:si>
    <x:t xml:space="preserve">The game is a developmental behavioral analogue. Selection use requires a substantially stronger evidence program.</x:t>
  </x:si>
  <x:si>
    <x:t xml:space="preserve">Phase</x:t>
  </x:si>
  <x:si>
    <x:t xml:space="preserve">Sample / method</x:t>
  </x:si>
  <x:si>
    <x:t xml:space="preserve">Question answered</x:t>
  </x:si>
  <x:si>
    <x:t xml:space="preserve">Required evidence</x:t>
  </x:si>
  <x:si>
    <x:t xml:space="preserve">Decision rule</x:t>
  </x:si>
  <x:si>
    <x:t xml:space="preserve">If failed</x:t>
  </x:si>
  <x:si>
    <x:t xml:space="preserve">1. Cognitive interviews</x:t>
  </x:si>
  <x:si>
    <x:t xml:space="preserve">8–12 diverse adults</x:t>
  </x:si>
  <x:si>
    <x:t xml:space="preserve">Do participants understand the task, utility state, alternatives and controls as intended?</x:t>
  </x:si>
  <x:si>
    <x:t xml:space="preserve">Think-aloud themes, comprehension checks, accessibility findings.</x:t>
  </x:si>
  <x:si>
    <x:t xml:space="preserve">No systematic misconception or inaccessible mechanic.</x:t>
  </x:si>
  <x:si>
    <x:t xml:space="preserve">Redesign task; do not score misunderstood windows.</x:t>
  </x:si>
  <x:si>
    <x:t xml:space="preserve">2. Usability + timing</x:t>
  </x:si>
  <x:si>
    <x:t xml:space="preserve">20–30 adults</x:t>
  </x:si>
  <x:si>
    <x:t xml:space="preserve">Can valid opportunities be completed within 30 minutes without route confusion?</x:t>
  </x:si>
  <x:si>
    <x:t xml:space="preserve">Valid-window rate, human timing, input errors, fatigue, route failures.</x:t>
  </x:si>
  <x:si>
    <x:t xml:space="preserve">Target ≥90% valid opportunities per item and total ≤30 min; final thresholds require owner approval.</x:t>
  </x:si>
  <x:si>
    <x:t xml:space="preserve">Reduce/replace tasks; never treat invalidity as low trait.</x:t>
  </x:si>
  <x:si>
    <x:t xml:space="preserve">3. Pilot psychometrics</x:t>
  </x:si>
  <x:si>
    <x:t xml:space="preserve">Prefer ≥200; power analysis required</x:t>
  </x:si>
  <x:si>
    <x:t xml:space="preserve">Do candidate components show variance, test–retest stability and expected convergence/discrimination?</x:t>
  </x:si>
  <x:si>
    <x:t xml:space="preserve">Component distributions, reliability/generalizability, BFI/BESSI/PDD/IP relations, gaming-experience effects.</x:t>
  </x:si>
  <x:si>
    <x:t xml:space="preserve">Pre-register hypotheses and analysis; no post-hoc cherry-picking.</x:t>
  </x:si>
  <x:si>
    <x:t xml:space="preserve">Drop or reframe weak item analogues; M08 first candidate for questionnaire-primary.</x:t>
  </x:si>
  <x:si>
    <x:t xml:space="preserve">4. Fairness / accessibility</x:t>
  </x:si>
  <x:si>
    <x:t xml:space="preserve">Adequately powered subgroup and mode analyses</x:t>
  </x:si>
  <x:si>
    <x:t xml:space="preserve">Are differences driven by language, disability, device, age or game familiarity?</x:t>
  </x:si>
  <x:si>
    <x:t xml:space="preserve">Differential functioning, mode equivalence, adverse impact diagnostics, accessibility completion.</x:t>
  </x:si>
  <x:si>
    <x:t xml:space="preserve">No unsupported equivalence claim; document residual risk.</x:t>
  </x:si>
  <x:si>
    <x:t xml:space="preserve">Provide equivalent mode or exclude affected indicator.</x:t>
  </x:si>
  <x:si>
    <x:t xml:space="preserve">5. Job relevance</x:t>
  </x:si>
  <x:si>
    <x:t xml:space="preserve">Job analysis + incumbents/SMEs</x:t>
  </x:si>
  <x:si>
    <x:t xml:space="preserve">Are exercises relevant to the intended hiring context?</x:t>
  </x:si>
  <x:si>
    <x:t xml:space="preserve">Content mapping, SME ratings, work-sample linkage.</x:t>
  </x:si>
  <x:si>
    <x:t xml:space="preserve">Use only for jobs supported by the analysis.</x:t>
  </x:si>
  <x:si>
    <x:t xml:space="preserve">Reframe narrative/task or restrict intended use.</x:t>
  </x:si>
  <x:si>
    <x:t xml:space="preserve">6. Criterion study</x:t>
  </x:si>
  <x:si>
    <x:t xml:space="preserve">Independent validation sample</x:t>
  </x:si>
  <x:si>
    <x:t xml:space="preserve">Does the game add valid, fair prediction beyond questionnaires/cognitive measures?</x:t>
  </x:si>
  <x:si>
    <x:t xml:space="preserve">Incremental validity, calibration, cross-validation, score stability.</x:t>
  </x:si>
  <x:si>
    <x:t xml:space="preserve">No operational use without replicated evidence and governance.</x:t>
  </x:si>
  <x:si>
    <x:t xml:space="preserve">Keep research-only; do not deploy selection score.</x:t>
  </x:si>
  <x:si>
    <x:t xml:space="preserve">7. Scoring authority</x:t>
  </x:si>
  <x:si>
    <x:t xml:space="preserve">Research-owner + psychometric review</x:t>
  </x:si>
  <x:si>
    <x:t xml:space="preserve">Which components, transformations and missingness rules are authorized?</x:t>
  </x:si>
  <x:si>
    <x:t xml:space="preserve">Versioned event schema, scoring plan, model card and audit trail.</x:t>
  </x:si>
  <x:si>
    <x:t xml:space="preserve">Explicit approval before implementation.</x:t>
  </x:si>
  <x:si>
    <x:t xml:space="preserve">Retain raw components only.</x:t>
  </x:si>
</x:sst>
</file>

<file path=xl/styles.xml><?xml version="1.0" encoding="utf-8"?>
<x:styleSheet xmlns:x="http://schemas.openxmlformats.org/spreadsheetml/2006/main">
  <x:numFmts count="3">
    <x:numFmt numFmtId="164" formatCode="0.0"/>
    <x:numFmt numFmtId="200" formatCode="#,##0"/>
    <x:numFmt numFmtId="201" formatCode="0"/>
  </x:numFmts>
  <x:fonts count="12">
    <x:font>
      <x:sz val="11"/>
      <x:name val="Carlito"/>
    </x:font>
    <x:font>
      <x:b/>
      <x:sz val="10"/>
      <x:color rgb="FFFFFFFF"/>
      <x:name val="Aptos"/>
    </x:font>
    <x:font>
      <x:sz val="10"/>
      <x:name val="Aptos"/>
    </x:font>
    <x:font>
      <x:i/>
      <x:sz val="10"/>
      <x:color rgb="FF274C5E"/>
      <x:name val="Aptos"/>
    </x:font>
    <x:font>
      <x:b/>
      <x:sz val="10"/>
      <x:name val="Aptos"/>
    </x:font>
    <x:font>
      <x:b/>
      <x:sz val="15"/>
      <x:color rgb="FFFFFFFF"/>
      <x:name val="Carlito"/>
    </x:font>
    <x:font>
      <x:i/>
      <x:sz val="10"/>
      <x:color rgb="FF17222B"/>
      <x:name val="Carlito"/>
    </x:font>
    <x:font>
      <x:b/>
      <x:sz val="11"/>
      <x:color rgb="FFFFFFFF"/>
      <x:name val="Carlito"/>
    </x:font>
    <x:font>
      <x:b/>
      <x:sz val="9"/>
      <x:color rgb="FF17222B"/>
      <x:name val="Carlito"/>
    </x:font>
    <x:font>
      <x:sz val="9"/>
      <x:color rgb="FF17222B"/>
      <x:name val="Carlito"/>
    </x:font>
    <x:font>
      <x:b/>
      <x:sz val="9"/>
      <x:color rgb="FF12324A"/>
      <x:name val="Carlito"/>
    </x:font>
    <x:font>
      <x:b/>
      <x:sz val="10"/>
      <x:color rgb="FFFFFFFF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3F1"/>
      </x:patternFill>
    </x:fill>
    <x:fill>
      <x:patternFill patternType="solid">
        <x:fgColor rgb="FFF3F5F7"/>
      </x:patternFill>
    </x:fill>
    <x:fill>
      <x:patternFill patternType="solid">
        <x:fgColor rgb="FF0F766E"/>
      </x:patternFill>
    </x:fill>
    <x:fill>
      <x:patternFill patternType="solid">
        <x:fgColor rgb="FF12324A"/>
      </x:patternFill>
    </x:fill>
    <x:fill>
      <x:patternFill patternType="solid">
        <x:fgColor rgb="FFE7F7F9"/>
      </x:patternFill>
    </x:fill>
    <x:fill>
      <x:patternFill patternType="solid">
        <x:fgColor rgb="FF1E4662"/>
      </x:patternFill>
    </x:fill>
    <x:fill>
      <x:patternFill patternType="solid">
        <x:fgColor rgb="FFFFFFFF"/>
      </x:patternFill>
    </x:fill>
    <x:fill>
      <x:patternFill patternType="solid">
        <x:fgColor rgb="FFFFF0C7"/>
      </x:patternFill>
    </x:fill>
    <x:fill>
      <x:patternFill patternType="solid">
        <x:fgColor rgb="FFDDEFE2"/>
      </x:patternFill>
    </x:fill>
    <x:fill>
      <x:patternFill patternType="solid">
        <x:fgColor rgb="FFF7D7D9"/>
      </x:patternFill>
    </x:fill>
    <x:fill>
      <x:patternFill patternType="solid">
        <x:fgColor rgb="FFE8EDF1"/>
      </x:patternFill>
    </x:fill>
  </x:fills>
  <x:borders count="2">
    <x:border/>
    <x:border>
      <x:left style="thin">
        <x:color rgb="FF9FB7C6"/>
      </x:left>
      <x:right style="thin">
        <x:color rgb="FF9FB7C6"/>
      </x:right>
      <x:top style="thin">
        <x:color rgb="FF9FB7C6"/>
      </x:top>
      <x:bottom style="thin">
        <x:color rgb="FF9FB7C6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2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wrapText="1"/>
    </x:xf>
    <x:xf numFmtId="1" fontId="2" fillId="0" borderId="0" xfId="0" applyNumberFormat="1" applyFont="1" applyFill="1" applyBorder="1" applyAlignment="1">
      <x:alignment wrapText="1"/>
    </x:xf>
    <x:xf numFmtId="1" fontId="2" fillId="0" borderId="0" xfId="0" applyNumberFormat="1" applyFont="1" applyFill="1" applyBorder="1"/>
    <x:xf numFmtId="2" fontId="2" fillId="0" borderId="0" xfId="0" applyNumberFormat="1" applyFont="1" applyFill="1" applyBorder="1"/>
    <x:xf numFmtId="2" fontId="2" fillId="0" borderId="0" xfId="0" applyNumberFormat="1" applyFont="1" applyFill="1" applyBorder="1" applyAlignment="1">
      <x:alignment wrapText="1"/>
    </x:xf>
    <x:xf numFmtId="164" fontId="2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/>
    <x:xf numFmtId="0" fontId="3" fillId="3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8" fillId="8" borderId="0" xfId="0" applyNumberFormat="1" applyFont="1" applyFill="1" applyBorder="1"/>
    <x:xf numFmtId="0" fontId="9" fillId="0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top" wrapText="1"/>
    </x:xf>
    <x:xf numFmtId="200" fontId="9" fillId="0" borderId="1" xfId="0" applyNumberFormat="1" applyFont="1" applyFill="1" applyBorder="1" applyAlignment="1">
      <x:alignment vertical="top" wrapText="1"/>
    </x:xf>
    <x:xf numFmtId="164" fontId="9" fillId="0" borderId="1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vertical="top" wrapText="1"/>
    </x:xf>
    <x:xf numFmtId="0" fontId="9" fillId="7" borderId="1" xfId="0" applyNumberFormat="1" applyFont="1" applyFill="1" applyBorder="1" applyAlignment="1">
      <x:alignment vertical="top" wrapText="1"/>
    </x:xf>
    <x:xf numFmtId="0" fontId="10" fillId="9" borderId="1" xfId="0" applyNumberFormat="1" applyFont="1" applyFill="1" applyBorder="1" applyAlignment="1">
      <x:alignment vertical="top" wrapText="1"/>
    </x:xf>
    <x:xf numFmtId="0" fontId="10" fillId="7" borderId="1" xfId="0" applyNumberFormat="1" applyFont="1" applyFill="1" applyBorder="1" applyAlignment="1">
      <x:alignment vertical="top" wrapText="1"/>
    </x:xf>
    <x:xf numFmtId="0" fontId="11" fillId="8" borderId="0" xfId="0" applyNumberFormat="1" applyFont="1" applyFill="1" applyBorder="1"/>
    <x:xf numFmtId="0" fontId="11" fillId="8" borderId="0" xfId="0" applyNumberFormat="1" applyFont="1" applyFill="1" applyBorder="1" applyAlignment="1">
      <x:alignment wrapText="1"/>
    </x:xf>
    <x:xf numFmtId="0" fontId="11" fillId="8" borderId="0" xfId="0" applyNumberFormat="1" applyFont="1" applyFill="1" applyBorder="1" applyAlignment="1">
      <x:alignment vertical="center" wrapText="1"/>
    </x:xf>
    <x:xf numFmtId="0" fontId="11" fillId="8" borderId="1" xfId="0" applyNumberFormat="1" applyFont="1" applyFill="1" applyBorder="1" applyAlignment="1">
      <x:alignment vertical="center" wrapText="1"/>
    </x:xf>
    <x:xf numFmtId="0" fontId="9" fillId="10" borderId="1" xfId="0" applyNumberFormat="1" applyFont="1" applyFill="1" applyBorder="1" applyAlignment="1">
      <x:alignment vertical="top" wrapText="1"/>
    </x:xf>
    <x:xf numFmtId="0" fontId="8" fillId="10" borderId="1" xfId="0" applyNumberFormat="1" applyFont="1" applyFill="1" applyBorder="1" applyAlignment="1">
      <x:alignment vertical="top" wrapText="1"/>
    </x:xf>
    <x:xf numFmtId="0" fontId="10" fillId="0" borderId="1" xfId="0" applyNumberFormat="1" applyFont="1" applyFill="1" applyBorder="1" applyAlignment="1">
      <x:alignment vertical="top" wrapText="1"/>
    </x:xf>
    <x:xf numFmtId="0" fontId="9" fillId="11" borderId="1" xfId="0" applyNumberFormat="1" applyFont="1" applyFill="1" applyBorder="1" applyAlignment="1">
      <x:alignment vertical="top" wrapText="1"/>
    </x:xf>
    <x:xf numFmtId="0" fontId="8" fillId="11" borderId="1" xfId="0" applyNumberFormat="1" applyFont="1" applyFill="1" applyBorder="1" applyAlignment="1">
      <x:alignment vertical="top" wrapText="1"/>
    </x:xf>
    <x:xf numFmtId="0" fontId="9" fillId="12" borderId="1" xfId="0" applyNumberFormat="1" applyFont="1" applyFill="1" applyBorder="1" applyAlignment="1">
      <x:alignment vertical="top" wrapText="1"/>
    </x:xf>
    <x:xf numFmtId="0" fontId="8" fillId="12" borderId="1" xfId="0" applyNumberFormat="1" applyFont="1" applyFill="1" applyBorder="1" applyAlignment="1">
      <x:alignment vertical="top" wrapText="1"/>
    </x:xf>
    <x:xf numFmtId="201" fontId="9" fillId="0" borderId="1" xfId="0" applyNumberFormat="1" applyFont="1" applyFill="1" applyBorder="1" applyAlignment="1">
      <x:alignment vertical="top" wrapText="1"/>
    </x:xf>
    <x:xf numFmtId="0" fontId="9" fillId="13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14532D"/>
      </x:font>
      <x:fill>
        <x:patternFill>
          <x:bgColor rgb="FFDDF3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483c50559f41fd" /><Relationship Type="http://schemas.openxmlformats.org/officeDocument/2006/relationships/theme" Target="/xl/theme/theme1.xml" Id="R8f2cdb4146354fbc" /><Relationship Type="http://schemas.openxmlformats.org/officeDocument/2006/relationships/sharedStrings" Target="/xl/sharedStrings.xml" Id="R8116f284dde34226" /><Relationship Type="http://schemas.openxmlformats.org/officeDocument/2006/relationships/worksheet" Target="/xl/worksheets/sheet1.xml" Id="R473329c74898465f" /><Relationship Type="http://schemas.openxmlformats.org/officeDocument/2006/relationships/worksheet" Target="/xl/worksheets/sheet2.xml" Id="R4e67116dd8a54760" /><Relationship Type="http://schemas.openxmlformats.org/officeDocument/2006/relationships/worksheet" Target="/xl/worksheets/sheet3.xml" Id="Rfa97ee375e5a4d41" /><Relationship Type="http://schemas.openxmlformats.org/officeDocument/2006/relationships/worksheet" Target="/xl/worksheets/sheet4.xml" Id="Rc83944f4147c4fa0" /><Relationship Type="http://schemas.openxmlformats.org/officeDocument/2006/relationships/worksheet" Target="/xl/worksheets/sheet5.xml" Id="R14a23de7d4594007" /><Relationship Type="http://schemas.openxmlformats.org/officeDocument/2006/relationships/worksheet" Target="/xl/worksheets/sheet6.xml" Id="Rc07a15121c514c15" /><Relationship Type="http://schemas.openxmlformats.org/officeDocument/2006/relationships/worksheet" Target="/xl/worksheets/sheet7.xml" Id="Rf40775bb3ddc45b6" /><Relationship Type="http://schemas.openxmlformats.org/officeDocument/2006/relationships/worksheet" Target="/xl/worksheets/sheet8.xml" Id="Rcf00cb576b4e451b" /><Relationship Type="http://schemas.openxmlformats.org/officeDocument/2006/relationships/worksheet" Target="/xl/worksheets/sheet9.xml" Id="Rbcd6fa77f4b9492e" /><Relationship Type="http://schemas.openxmlformats.org/officeDocument/2006/relationships/worksheet" Target="/xl/worksheets/sheet10.xml" Id="R64d1eda633d6404d" /><Relationship Type="http://schemas.openxmlformats.org/officeDocument/2006/relationships/worksheet" Target="/xl/worksheets/sheet11.xml" Id="R7e4e01453a4d4484" /><Relationship Type="http://schemas.openxmlformats.org/officeDocument/2006/relationships/worksheet" Target="/xl/worksheets/sheet12.xml" Id="R499af0a606b94198" /><Relationship Type="http://schemas.openxmlformats.org/officeDocument/2006/relationships/worksheet" Target="/xl/worksheets/sheet13.xml" Id="R8dbd585cdbbb4daa" /><Relationship Type="http://schemas.openxmlformats.org/officeDocument/2006/relationships/worksheet" Target="/xl/worksheets/sheet14.xml" Id="Rc39beaca54b94808" /><Relationship Type="http://schemas.openxmlformats.org/officeDocument/2006/relationships/worksheet" Target="/xl/worksheets/sheet15.xml" Id="R126b76d221a6455c" /></Relationships>
</file>

<file path=xl/tables/table1.xml><?xml version="1.0" encoding="utf-8"?>
<x:table xmlns:x="http://schemas.openxmlformats.org/spreadsheetml/2006/main" id="1" name="DecisionsTable" displayName="DecisionsTable" ref="A4:M30" totalsRowShown="0">
  <x:tableColumns count="13">
    <x:tableColumn id="1" name="ID"/>
    <x:tableColumn id="2" name="Instrument"/>
    <x:tableColumn id="3" name="Facet"/>
    <x:tableColumn id="4" name="Exact item wording"/>
    <x:tableColumn id="5" name="Recommended approach"/>
    <x:tableColumn id="6" name="Origin"/>
    <x:tableColumn id="7" name="Broad episode"/>
    <x:tableColumn id="8" name="Observation structure"/>
    <x:tableColumn id="9" name="Active sec"/>
    <x:tableColumn id="10" name="What this improves"/>
    <x:tableColumn id="11" name="Main remaining threat"/>
    <x:tableColumn id="12" name="Pilot decision gate"/>
    <x:tableColumn id="13" name="Author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ptionsTable" displayName="OptionsTable" ref="A4:W82" totalsRowShown="0">
  <x:tableColumns count="23">
    <x:tableColumn id="1" name="ID"/>
    <x:tableColumn id="2" name="Instrument"/>
    <x:tableColumn id="3" name="Facet"/>
    <x:tableColumn id="4" name="Exact item wording"/>
    <x:tableColumn id="5" name="Target claim"/>
    <x:tableColumn id="6" name="Option"/>
    <x:tableColumn id="7" name="Rank"/>
    <x:tableColumn id="8" name="Origin"/>
    <x:tableColumn id="9" name="Method family"/>
    <x:tableColumn id="10" name="Broad episode"/>
    <x:tableColumn id="11" name="Participant-facing task"/>
    <x:tableColumn id="12" name="Observation structure"/>
    <x:tableColumn id="13" name="Candidate evidence components"/>
    <x:tableColumn id="14" name="Validity prerequisites"/>
    <x:tableColumn id="15" name="Main alternative explanations"/>
    <x:tableColumn id="16" name="Active sec"/>
    <x:tableColumn id="17" name="Construct fidelity"/>
    <x:tableColumn id="18" name="Work relevance"/>
    <x:tableColumn id="19" name="Independence"/>
    <x:tableColumn id="20" name="Confound control"/>
    <x:tableColumn id="21" name="Game integration"/>
    <x:tableColumn id="22" name="Weighted design score"/>
    <x:tableColumn id="23" name="Disposi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pisodeTable" displayName="EpisodeTable" ref="A4:I9" totalsRowShown="0">
  <x:tableColumns count="9">
    <x:tableColumn id="1" name="Episode concept"/>
    <x:tableColumn id="2" name="Narrative purpose"/>
    <x:tableColumn id="3" name="Items hosted"/>
    <x:tableColumn id="4" name="Examples of owned windows"/>
    <x:tableColumn id="5" name="Shared context allowed"/>
    <x:tableColumn id="6" name="Primary evidence firewall"/>
    <x:tableColumn id="7" name="Approx episode min"/>
    <x:tableColumn id="8" name="Route implication"/>
    <x:tableColumn id="9" name="Do not d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ctionTable" displayName="ActionTable" ref="A4:F17" totalsRowShown="0">
  <x:tableColumns count="6">
    <x:tableColumn id="1" name="Action / mechanic"/>
    <x:tableColumn id="2" name="Good uses"/>
    <x:tableColumn id="3" name="Poor or prohibited uses"/>
    <x:tableColumn id="4" name="Key controls"/>
    <x:tableColumn id="5" name="Relevant recommended items"/>
    <x:tableColumn id="6" name="Game-design 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ulesTable" displayName="RulesTable" ref="A4:F13" totalsRowShown="0">
  <x:tableColumns count="6">
    <x:tableColumn id="1" name="Rule"/>
    <x:tableColumn id="2" name="Operational requirement"/>
    <x:tableColumn id="3" name="Why it matters"/>
    <x:tableColumn id="4" name="Pass example"/>
    <x:tableColumn id="5" name="Fail example"/>
    <x:tableColumn id="6" name="Ga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sTable" displayName="SourcesTable" ref="A4:E26" totalsRowShown="0">
  <x:tableColumns count="5">
    <x:tableColumn id="1" name="ID"/>
    <x:tableColumn id="2" name="Topic"/>
    <x:tableColumn id="3" name="Citation / source"/>
    <x:tableColumn id="4" name="URL"/>
    <x:tableColumn id="5" name="Design implica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ValidationTable" displayName="ValidationTable" ref="A4:F11" totalsRowShown="0">
  <x:tableColumns count="6">
    <x:tableColumn id="1" name="Phase"/>
    <x:tableColumn id="2" name="Sample / method"/>
    <x:tableColumn id="3" name="Question answered"/>
    <x:tableColumn id="4" name="Required evidence"/>
    <x:tableColumn id="5" name="Decision rule"/>
    <x:tableColumn id="6" name="If fail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07e76f7f044c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8a6c2beb5342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4ee212379444a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847b7fada449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56145be731e443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a63d5c35f2c473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b34bccdddf14fcb" /></Relationships>
</file>

<file path=xl/worksheets/sheet1.xml><?xml version="1.0" encoding="utf-8"?>
<x:worksheet xmlns:x="http://schemas.openxmlformats.org/spreadsheetml/2006/main">
  <x:sheetFormatPr defaultRowHeight="14.25"/>
  <x:cols>
    <x:col min="1" max="1" width="25" customWidth="1"/>
    <x:col min="2" max="2" width="115" customWidth="1"/>
  </x:cols>
  <x:sheetData>
    <x:row r="1" ht="30" customHeight="1">
      <x:c r="A1" s="11" t="s">
        <x:v>0</x:v>
      </x:c>
      <x:c r="B1" s="12"/>
      <x:c r="C1" s="13"/>
      <x:c r="D1" s="13"/>
      <x:c r="E1" s="13"/>
      <x:c r="F1" s="13"/>
      <x:c r="G1" s="13"/>
      <x:c r="H1" s="13"/>
    </x:row>
    <x:row r="2" ht="33.95000076293945" customHeight="1">
      <x:c r="A2" s="14" t="s">
        <x:v>1</x:v>
      </x:c>
      <x:c r="B2" s="12"/>
      <x:c r="C2" s="13"/>
      <x:c r="D2" s="13"/>
      <x:c r="E2" s="13"/>
      <x:c r="F2" s="13"/>
      <x:c r="G2" s="13"/>
      <x:c r="H2" s="13"/>
    </x:row>
    <x:row r="3">
      <x:c r="A3" s="1"/>
      <x:c r="B3" s="1"/>
    </x:row>
    <x:row r="4">
      <x:c r="A4" s="2" t="s">
        <x:v>2</x:v>
      </x:c>
      <x:c r="B4" s="2" t="s">
        <x:v>3</x:v>
      </x:c>
    </x:row>
    <x:row r="5" ht="25.5">
      <x:c r="A5" s="3" t="s">
        <x:v>4</x:v>
      </x:c>
      <x:c r="B5" s="4" t="s">
        <x:v>5</x:v>
      </x:c>
    </x:row>
    <x:row r="6" ht="25.5">
      <x:c r="A6" s="3" t="s">
        <x:v>6</x:v>
      </x:c>
      <x:c r="B6" s="4" t="s">
        <x:v>7</x:v>
      </x:c>
    </x:row>
    <x:row r="7" ht="25.5">
      <x:c r="A7" s="3" t="s">
        <x:v>8</x:v>
      </x:c>
      <x:c r="B7" s="4" t="s">
        <x:v>9</x:v>
      </x:c>
    </x:row>
    <x:row r="8" ht="25.5">
      <x:c r="A8" s="3" t="s">
        <x:v>10</x:v>
      </x:c>
      <x:c r="B8" s="4" t="s">
        <x:v>11</x:v>
      </x:c>
    </x:row>
    <x:row r="9" ht="25.5">
      <x:c r="A9" s="3" t="s">
        <x:v>12</x:v>
      </x:c>
      <x:c r="B9" s="4" t="s">
        <x:v>13</x:v>
      </x:c>
    </x:row>
    <x:row r="10" ht="25.5">
      <x:c r="A10" s="3" t="s">
        <x:v>14</x:v>
      </x:c>
      <x:c r="B10" s="4" t="s">
        <x:v>15</x:v>
      </x:c>
    </x:row>
    <x:row r="11" ht="25.5">
      <x:c r="A11" s="3" t="s">
        <x:v>16</x:v>
      </x:c>
      <x:c r="B11" s="4" t="s">
        <x:v>17</x:v>
      </x:c>
    </x:row>
    <x:row r="12" ht="25.5">
      <x:c r="A12" s="3" t="s">
        <x:v>18</x:v>
      </x:c>
      <x:c r="B12" s="4" t="s">
        <x:v>19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9" customWidth="1"/>
    <x:col min="2" max="2" width="24" customWidth="1"/>
    <x:col min="3" max="3" width="22" customWidth="1"/>
    <x:col min="4" max="4" width="50" customWidth="1"/>
    <x:col min="5" max="5" width="38" customWidth="1"/>
    <x:col min="6" max="6" width="20" customWidth="1"/>
    <x:col min="7" max="7" width="24" customWidth="1"/>
    <x:col min="8" max="8" width="42" customWidth="1"/>
    <x:col min="9" max="9" width="12" customWidth="1"/>
    <x:col min="10" max="10" width="55" customWidth="1"/>
    <x:col min="11" max="11" width="50" customWidth="1"/>
    <x:col min="12" max="12" width="55" customWidth="1"/>
    <x:col min="13" max="13" width="16" customWidth="1"/>
    <x:col min="14" max="14" width="3" customWidth="1"/>
    <x:col min="15" max="15" width="24" customWidth="1"/>
    <x:col min="16" max="16" width="14" customWidth="1"/>
  </x:cols>
  <x:sheetData>
    <x:row r="1" ht="30" customHeight="1">
      <x:c r="A1" s="11" t="s">
        <x:v>20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"/>
      <x:c r="O1" s="1"/>
      <x:c r="P1" s="1"/>
    </x:row>
    <x:row r="2" ht="33.95000076293945" customHeight="1">
      <x:c r="A2" s="14" t="s">
        <x:v>21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"/>
      <x:c r="O2" s="1"/>
      <x:c r="P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>
      <x:c r="A4" s="2" t="s">
        <x:v>22</x:v>
      </x:c>
      <x:c r="B4" s="2" t="s">
        <x:v>23</x:v>
      </x:c>
      <x:c r="C4" s="2" t="s">
        <x:v>24</x:v>
      </x:c>
      <x:c r="D4" s="2" t="s">
        <x:v>25</x:v>
      </x:c>
      <x:c r="E4" s="2" t="s">
        <x:v>26</x:v>
      </x:c>
      <x:c r="F4" s="2" t="s">
        <x:v>27</x:v>
      </x:c>
      <x:c r="G4" s="2" t="s">
        <x:v>28</x:v>
      </x:c>
      <x:c r="H4" s="2" t="s">
        <x:v>29</x:v>
      </x:c>
      <x:c r="I4" s="2" t="s">
        <x:v>30</x:v>
      </x:c>
      <x:c r="J4" s="2" t="s">
        <x:v>31</x:v>
      </x:c>
      <x:c r="K4" s="2" t="s">
        <x:v>32</x:v>
      </x:c>
      <x:c r="L4" s="2" t="s">
        <x:v>33</x:v>
      </x:c>
      <x:c r="M4" s="2" t="s">
        <x:v>16</x:v>
      </x:c>
      <x:c r="N4" s="1"/>
      <x:c r="O4" s="2" t="s">
        <x:v>34</x:v>
      </x:c>
      <x:c r="P4" s="2" t="s">
        <x:v>35</x:v>
      </x:c>
    </x:row>
    <x:row r="5" ht="51">
      <x:c r="A5" s="5" t="s">
        <x:v>36</x:v>
      </x:c>
      <x:c r="B5" s="5" t="s">
        <x:v>37</x:v>
      </x:c>
      <x:c r="C5" s="5" t="s">
        <x:v>38</x:v>
      </x:c>
      <x:c r="D5" s="5" t="s">
        <x:v>39</x:v>
      </x:c>
      <x:c r="E5" s="5" t="s">
        <x:v>40</x:v>
      </x:c>
      <x:c r="F5" s="5" t="s">
        <x:v>41</x:v>
      </x:c>
      <x:c r="G5" s="5" t="s">
        <x:v>42</x:v>
      </x:c>
      <x:c r="H5" s="5" t="s">
        <x:v>43</x:v>
      </x:c>
      <x:c r="I5" s="6">
        <x:v>45</x:v>
      </x:c>
      <x:c r="J5" s="5" t="s">
        <x:v>44</x:v>
      </x:c>
      <x:c r="K5" s="5" t="s">
        <x:v>45</x:v>
      </x:c>
      <x:c r="L5" s="5" t="s">
        <x:v>46</x:v>
      </x:c>
      <x:c r="M5" s="5" t="s">
        <x:v>47</x:v>
      </x:c>
      <x:c r="N5" s="1"/>
      <x:c r="O5" s="1" t="s">
        <x:v>48</x:v>
      </x:c>
      <x:c r="P5" s="7" t="n">
        <x:f>SUM(I5:I30)</x:f>
        <x:v>1055</x:v>
      </x:c>
    </x:row>
    <x:row r="6" ht="25.5">
      <x:c r="A6" s="5" t="s">
        <x:v>49</x:v>
      </x:c>
      <x:c r="B6" s="5" t="s">
        <x:v>37</x:v>
      </x:c>
      <x:c r="C6" s="5" t="s">
        <x:v>38</x:v>
      </x:c>
      <x:c r="D6" s="5" t="s">
        <x:v>50</x:v>
      </x:c>
      <x:c r="E6" s="5" t="s">
        <x:v>51</x:v>
      </x:c>
      <x:c r="F6" s="5" t="s">
        <x:v>41</x:v>
      </x:c>
      <x:c r="G6" s="5" t="s">
        <x:v>42</x:v>
      </x:c>
      <x:c r="H6" s="5" t="s">
        <x:v>52</x:v>
      </x:c>
      <x:c r="I6" s="6">
        <x:v>35</x:v>
      </x:c>
      <x:c r="J6" s="5" t="s">
        <x:v>53</x:v>
      </x:c>
      <x:c r="K6" s="5" t="s">
        <x:v>54</x:v>
      </x:c>
      <x:c r="L6" s="5" t="s">
        <x:v>46</x:v>
      </x:c>
      <x:c r="M6" s="5" t="s">
        <x:v>47</x:v>
      </x:c>
      <x:c r="N6" s="1"/>
      <x:c r="O6" s="1" t="s">
        <x:v>55</x:v>
      </x:c>
      <x:c r="P6" s="7">
        <x:v>465</x:v>
      </x:c>
    </x:row>
    <x:row r="7" ht="25.5">
      <x:c r="A7" s="5" t="s">
        <x:v>56</x:v>
      </x:c>
      <x:c r="B7" s="5" t="s">
        <x:v>37</x:v>
      </x:c>
      <x:c r="C7" s="5" t="s">
        <x:v>38</x:v>
      </x:c>
      <x:c r="D7" s="5" t="s">
        <x:v>57</x:v>
      </x:c>
      <x:c r="E7" s="5" t="s">
        <x:v>58</x:v>
      </x:c>
      <x:c r="F7" s="5" t="s">
        <x:v>41</x:v>
      </x:c>
      <x:c r="G7" s="5" t="s">
        <x:v>59</x:v>
      </x:c>
      <x:c r="H7" s="5" t="s">
        <x:v>60</x:v>
      </x:c>
      <x:c r="I7" s="6">
        <x:v>30</x:v>
      </x:c>
      <x:c r="J7" s="5" t="s">
        <x:v>61</x:v>
      </x:c>
      <x:c r="K7" s="5" t="s">
        <x:v>62</x:v>
      </x:c>
      <x:c r="L7" s="5" t="s">
        <x:v>46</x:v>
      </x:c>
      <x:c r="M7" s="5" t="s">
        <x:v>47</x:v>
      </x:c>
      <x:c r="N7" s="1"/>
      <x:c r="O7" s="1" t="s">
        <x:v>63</x:v>
      </x:c>
      <x:c r="P7" s="7" t="n">
        <x:f>P5+P6</x:f>
        <x:v>1520</x:v>
      </x:c>
    </x:row>
    <x:row r="8" ht="25.5">
      <x:c r="A8" s="5" t="s">
        <x:v>64</x:v>
      </x:c>
      <x:c r="B8" s="5" t="s">
        <x:v>37</x:v>
      </x:c>
      <x:c r="C8" s="5" t="s">
        <x:v>38</x:v>
      </x:c>
      <x:c r="D8" s="5" t="s">
        <x:v>65</x:v>
      </x:c>
      <x:c r="E8" s="5" t="s">
        <x:v>66</x:v>
      </x:c>
      <x:c r="F8" s="5" t="s">
        <x:v>67</x:v>
      </x:c>
      <x:c r="G8" s="5" t="s">
        <x:v>68</x:v>
      </x:c>
      <x:c r="H8" s="5" t="s">
        <x:v>69</x:v>
      </x:c>
      <x:c r="I8" s="6">
        <x:v>30</x:v>
      </x:c>
      <x:c r="J8" s="5" t="s">
        <x:v>70</x:v>
      </x:c>
      <x:c r="K8" s="5" t="s">
        <x:v>71</x:v>
      </x:c>
      <x:c r="L8" s="5" t="s">
        <x:v>46</x:v>
      </x:c>
      <x:c r="M8" s="5" t="s">
        <x:v>47</x:v>
      </x:c>
      <x:c r="N8" s="1"/>
      <x:c r="O8" s="1" t="s">
        <x:v>72</x:v>
      </x:c>
      <x:c r="P8" s="8" t="n">
        <x:f>P7/60</x:f>
        <x:v>25.333333333333332</x:v>
      </x:c>
    </x:row>
    <x:row r="9" ht="38.25">
      <x:c r="A9" s="5" t="s">
        <x:v>73</x:v>
      </x:c>
      <x:c r="B9" s="5" t="s">
        <x:v>37</x:v>
      </x:c>
      <x:c r="C9" s="5" t="s">
        <x:v>74</x:v>
      </x:c>
      <x:c r="D9" s="5" t="s">
        <x:v>75</x:v>
      </x:c>
      <x:c r="E9" s="5" t="s">
        <x:v>76</x:v>
      </x:c>
      <x:c r="F9" s="5" t="s">
        <x:v>41</x:v>
      </x:c>
      <x:c r="G9" s="5" t="s">
        <x:v>77</x:v>
      </x:c>
      <x:c r="H9" s="5" t="s">
        <x:v>78</x:v>
      </x:c>
      <x:c r="I9" s="6">
        <x:v>30</x:v>
      </x:c>
      <x:c r="J9" s="5" t="s">
        <x:v>79</x:v>
      </x:c>
      <x:c r="K9" s="5" t="s">
        <x:v>80</x:v>
      </x:c>
      <x:c r="L9" s="5" t="s">
        <x:v>46</x:v>
      </x:c>
      <x:c r="M9" s="5" t="s">
        <x:v>47</x:v>
      </x:c>
      <x:c r="N9" s="1"/>
      <x:c r="O9" s="1" t="s">
        <x:v>81</x:v>
      </x:c>
      <x:c r="P9" s="8" t="n">
        <x:f>30-P8</x:f>
        <x:v>4.666666666666668</x:v>
      </x:c>
    </x:row>
    <x:row r="10" ht="25.5">
      <x:c r="A10" s="5" t="s">
        <x:v>82</x:v>
      </x:c>
      <x:c r="B10" s="5" t="s">
        <x:v>37</x:v>
      </x:c>
      <x:c r="C10" s="5" t="s">
        <x:v>74</x:v>
      </x:c>
      <x:c r="D10" s="5" t="s">
        <x:v>83</x:v>
      </x:c>
      <x:c r="E10" s="5" t="s">
        <x:v>84</x:v>
      </x:c>
      <x:c r="F10" s="5" t="s">
        <x:v>41</x:v>
      </x:c>
      <x:c r="G10" s="5" t="s">
        <x:v>85</x:v>
      </x:c>
      <x:c r="H10" s="5" t="s">
        <x:v>86</x:v>
      </x:c>
      <x:c r="I10" s="6">
        <x:v>35</x:v>
      </x:c>
      <x:c r="J10" s="5" t="s">
        <x:v>87</x:v>
      </x:c>
      <x:c r="K10" s="5" t="s">
        <x:v>88</x:v>
      </x:c>
      <x:c r="L10" s="5" t="s">
        <x:v>46</x:v>
      </x:c>
      <x:c r="M10" s="5" t="s">
        <x:v>47</x:v>
      </x:c>
      <x:c r="N10" s="1"/>
      <x:c r="O10" s="1"/>
      <x:c r="P10" s="1"/>
    </x:row>
    <x:row r="11" ht="25.5">
      <x:c r="A11" s="5" t="s">
        <x:v>89</x:v>
      </x:c>
      <x:c r="B11" s="5" t="s">
        <x:v>37</x:v>
      </x:c>
      <x:c r="C11" s="5" t="s">
        <x:v>74</x:v>
      </x:c>
      <x:c r="D11" s="5" t="s">
        <x:v>90</x:v>
      </x:c>
      <x:c r="E11" s="5" t="s">
        <x:v>91</x:v>
      </x:c>
      <x:c r="F11" s="5" t="s">
        <x:v>67</x:v>
      </x:c>
      <x:c r="G11" s="5" t="s">
        <x:v>92</x:v>
      </x:c>
      <x:c r="H11" s="5" t="s">
        <x:v>93</x:v>
      </x:c>
      <x:c r="I11" s="6">
        <x:v>40</x:v>
      </x:c>
      <x:c r="J11" s="5" t="s">
        <x:v>94</x:v>
      </x:c>
      <x:c r="K11" s="5" t="s">
        <x:v>95</x:v>
      </x:c>
      <x:c r="L11" s="5" t="s">
        <x:v>46</x:v>
      </x:c>
      <x:c r="M11" s="5" t="s">
        <x:v>47</x:v>
      </x:c>
      <x:c r="N11" s="1"/>
      <x:c r="O11" s="1"/>
      <x:c r="P11" s="1"/>
    </x:row>
    <x:row r="12" ht="25.5">
      <x:c r="A12" s="5" t="s">
        <x:v>96</x:v>
      </x:c>
      <x:c r="B12" s="5" t="s">
        <x:v>37</x:v>
      </x:c>
      <x:c r="C12" s="5" t="s">
        <x:v>74</x:v>
      </x:c>
      <x:c r="D12" s="5" t="s">
        <x:v>97</x:v>
      </x:c>
      <x:c r="E12" s="5" t="s">
        <x:v>98</x:v>
      </x:c>
      <x:c r="F12" s="5" t="s">
        <x:v>67</x:v>
      </x:c>
      <x:c r="G12" s="5" t="s">
        <x:v>99</x:v>
      </x:c>
      <x:c r="H12" s="5" t="s">
        <x:v>100</x:v>
      </x:c>
      <x:c r="I12" s="6">
        <x:v>30</x:v>
      </x:c>
      <x:c r="J12" s="5" t="s">
        <x:v>101</x:v>
      </x:c>
      <x:c r="K12" s="5" t="s">
        <x:v>102</x:v>
      </x:c>
      <x:c r="L12" s="5" t="s">
        <x:v>103</x:v>
      </x:c>
      <x:c r="M12" s="5" t="s">
        <x:v>47</x:v>
      </x:c>
      <x:c r="N12" s="1"/>
      <x:c r="O12" s="1"/>
      <x:c r="P12" s="1"/>
    </x:row>
    <x:row r="13" ht="25.5">
      <x:c r="A13" s="5" t="s">
        <x:v>104</x:v>
      </x:c>
      <x:c r="B13" s="5" t="s">
        <x:v>37</x:v>
      </x:c>
      <x:c r="C13" s="5" t="s">
        <x:v>105</x:v>
      </x:c>
      <x:c r="D13" s="5" t="s">
        <x:v>106</x:v>
      </x:c>
      <x:c r="E13" s="5" t="s">
        <x:v>107</x:v>
      </x:c>
      <x:c r="F13" s="5" t="s">
        <x:v>41</x:v>
      </x:c>
      <x:c r="G13" s="5" t="s">
        <x:v>108</x:v>
      </x:c>
      <x:c r="H13" s="5" t="s">
        <x:v>109</x:v>
      </x:c>
      <x:c r="I13" s="6">
        <x:v>25</x:v>
      </x:c>
      <x:c r="J13" s="5" t="s">
        <x:v>110</x:v>
      </x:c>
      <x:c r="K13" s="5" t="s">
        <x:v>111</x:v>
      </x:c>
      <x:c r="L13" s="5" t="s">
        <x:v>46</x:v>
      </x:c>
      <x:c r="M13" s="5" t="s">
        <x:v>47</x:v>
      </x:c>
      <x:c r="N13" s="1"/>
      <x:c r="O13" s="1"/>
      <x:c r="P13" s="1"/>
    </x:row>
    <x:row r="14" ht="25.5">
      <x:c r="A14" s="5" t="s">
        <x:v>112</x:v>
      </x:c>
      <x:c r="B14" s="5" t="s">
        <x:v>37</x:v>
      </x:c>
      <x:c r="C14" s="5" t="s">
        <x:v>105</x:v>
      </x:c>
      <x:c r="D14" s="5" t="s">
        <x:v>113</x:v>
      </x:c>
      <x:c r="E14" s="5" t="s">
        <x:v>114</x:v>
      </x:c>
      <x:c r="F14" s="5" t="s">
        <x:v>67</x:v>
      </x:c>
      <x:c r="G14" s="5" t="s">
        <x:v>115</x:v>
      </x:c>
      <x:c r="H14" s="5" t="s">
        <x:v>116</x:v>
      </x:c>
      <x:c r="I14" s="6">
        <x:v>25</x:v>
      </x:c>
      <x:c r="J14" s="5" t="s">
        <x:v>117</x:v>
      </x:c>
      <x:c r="K14" s="5" t="s">
        <x:v>118</x:v>
      </x:c>
      <x:c r="L14" s="5" t="s">
        <x:v>46</x:v>
      </x:c>
      <x:c r="M14" s="5" t="s">
        <x:v>47</x:v>
      </x:c>
      <x:c r="N14" s="1"/>
      <x:c r="O14" s="1"/>
      <x:c r="P14" s="1"/>
    </x:row>
    <x:row r="15" ht="25.5">
      <x:c r="A15" s="5" t="s">
        <x:v>119</x:v>
      </x:c>
      <x:c r="B15" s="5" t="s">
        <x:v>37</x:v>
      </x:c>
      <x:c r="C15" s="5" t="s">
        <x:v>105</x:v>
      </x:c>
      <x:c r="D15" s="5" t="s">
        <x:v>120</x:v>
      </x:c>
      <x:c r="E15" s="5" t="s">
        <x:v>121</x:v>
      </x:c>
      <x:c r="F15" s="5" t="s">
        <x:v>67</x:v>
      </x:c>
      <x:c r="G15" s="5" t="s">
        <x:v>122</x:v>
      </x:c>
      <x:c r="H15" s="5" t="s">
        <x:v>123</x:v>
      </x:c>
      <x:c r="I15" s="6">
        <x:v>25</x:v>
      </x:c>
      <x:c r="J15" s="5" t="s">
        <x:v>124</x:v>
      </x:c>
      <x:c r="K15" s="5" t="s">
        <x:v>125</x:v>
      </x:c>
      <x:c r="L15" s="5" t="s">
        <x:v>46</x:v>
      </x:c>
      <x:c r="M15" s="5" t="s">
        <x:v>47</x:v>
      </x:c>
      <x:c r="N15" s="1"/>
      <x:c r="O15" s="1"/>
      <x:c r="P15" s="1"/>
    </x:row>
    <x:row r="16" ht="25.5">
      <x:c r="A16" s="5" t="s">
        <x:v>126</x:v>
      </x:c>
      <x:c r="B16" s="5" t="s">
        <x:v>37</x:v>
      </x:c>
      <x:c r="C16" s="5" t="s">
        <x:v>105</x:v>
      </x:c>
      <x:c r="D16" s="5" t="s">
        <x:v>127</x:v>
      </x:c>
      <x:c r="E16" s="5" t="s">
        <x:v>128</x:v>
      </x:c>
      <x:c r="F16" s="5" t="s">
        <x:v>67</x:v>
      </x:c>
      <x:c r="G16" s="5" t="s">
        <x:v>129</x:v>
      </x:c>
      <x:c r="H16" s="5" t="s">
        <x:v>130</x:v>
      </x:c>
      <x:c r="I16" s="6">
        <x:v>30</x:v>
      </x:c>
      <x:c r="J16" s="5" t="s">
        <x:v>131</x:v>
      </x:c>
      <x:c r="K16" s="5" t="s">
        <x:v>132</x:v>
      </x:c>
      <x:c r="L16" s="5" t="s">
        <x:v>46</x:v>
      </x:c>
      <x:c r="M16" s="5" t="s">
        <x:v>47</x:v>
      </x:c>
      <x:c r="N16" s="1"/>
      <x:c r="O16" s="1"/>
      <x:c r="P16" s="1"/>
    </x:row>
    <x:row r="17" ht="25.5">
      <x:c r="A17" s="5" t="s">
        <x:v>133</x:v>
      </x:c>
      <x:c r="B17" s="5" t="s">
        <x:v>134</x:v>
      </x:c>
      <x:c r="C17" s="5" t="s">
        <x:v>135</x:v>
      </x:c>
      <x:c r="D17" s="5" t="s">
        <x:v>136</x:v>
      </x:c>
      <x:c r="E17" s="5" t="s">
        <x:v>137</x:v>
      </x:c>
      <x:c r="F17" s="5" t="s">
        <x:v>67</x:v>
      </x:c>
      <x:c r="G17" s="5" t="s">
        <x:v>92</x:v>
      </x:c>
      <x:c r="H17" s="5" t="s">
        <x:v>138</x:v>
      </x:c>
      <x:c r="I17" s="6">
        <x:v>45</x:v>
      </x:c>
      <x:c r="J17" s="5" t="s">
        <x:v>139</x:v>
      </x:c>
      <x:c r="K17" s="5" t="s">
        <x:v>140</x:v>
      </x:c>
      <x:c r="L17" s="5" t="s">
        <x:v>46</x:v>
      </x:c>
      <x:c r="M17" s="5" t="s">
        <x:v>47</x:v>
      </x:c>
      <x:c r="N17" s="1"/>
      <x:c r="O17" s="1"/>
      <x:c r="P17" s="1"/>
    </x:row>
    <x:row r="18" ht="25.5">
      <x:c r="A18" s="5" t="s">
        <x:v>141</x:v>
      </x:c>
      <x:c r="B18" s="5" t="s">
        <x:v>134</x:v>
      </x:c>
      <x:c r="C18" s="5" t="s">
        <x:v>135</x:v>
      </x:c>
      <x:c r="D18" s="5" t="s">
        <x:v>142</x:v>
      </x:c>
      <x:c r="E18" s="5" t="s">
        <x:v>143</x:v>
      </x:c>
      <x:c r="F18" s="5" t="s">
        <x:v>41</x:v>
      </x:c>
      <x:c r="G18" s="5" t="s">
        <x:v>42</x:v>
      </x:c>
      <x:c r="H18" s="5" t="s">
        <x:v>144</x:v>
      </x:c>
      <x:c r="I18" s="6">
        <x:v>50</x:v>
      </x:c>
      <x:c r="J18" s="5" t="s">
        <x:v>145</x:v>
      </x:c>
      <x:c r="K18" s="5" t="s">
        <x:v>146</x:v>
      </x:c>
      <x:c r="L18" s="5" t="s">
        <x:v>46</x:v>
      </x:c>
      <x:c r="M18" s="5" t="s">
        <x:v>47</x:v>
      </x:c>
      <x:c r="N18" s="1"/>
      <x:c r="O18" s="1"/>
      <x:c r="P18" s="1"/>
    </x:row>
    <x:row r="19" ht="25.5">
      <x:c r="A19" s="5" t="s">
        <x:v>147</x:v>
      </x:c>
      <x:c r="B19" s="5" t="s">
        <x:v>134</x:v>
      </x:c>
      <x:c r="C19" s="5" t="s">
        <x:v>135</x:v>
      </x:c>
      <x:c r="D19" s="5" t="s">
        <x:v>148</x:v>
      </x:c>
      <x:c r="E19" s="5" t="s">
        <x:v>149</x:v>
      </x:c>
      <x:c r="F19" s="5" t="s">
        <x:v>67</x:v>
      </x:c>
      <x:c r="G19" s="5" t="s">
        <x:v>150</x:v>
      </x:c>
      <x:c r="H19" s="5" t="s">
        <x:v>151</x:v>
      </x:c>
      <x:c r="I19" s="6">
        <x:v>50</x:v>
      </x:c>
      <x:c r="J19" s="5" t="s">
        <x:v>152</x:v>
      </x:c>
      <x:c r="K19" s="5" t="s">
        <x:v>153</x:v>
      </x:c>
      <x:c r="L19" s="5" t="s">
        <x:v>46</x:v>
      </x:c>
      <x:c r="M19" s="5" t="s">
        <x:v>47</x:v>
      </x:c>
      <x:c r="N19" s="1"/>
      <x:c r="O19" s="1"/>
      <x:c r="P19" s="1"/>
    </x:row>
    <x:row r="20" ht="25.5">
      <x:c r="A20" s="5" t="s">
        <x:v>154</x:v>
      </x:c>
      <x:c r="B20" s="5" t="s">
        <x:v>134</x:v>
      </x:c>
      <x:c r="C20" s="5" t="s">
        <x:v>135</x:v>
      </x:c>
      <x:c r="D20" s="5" t="s">
        <x:v>155</x:v>
      </x:c>
      <x:c r="E20" s="5" t="s">
        <x:v>156</x:v>
      </x:c>
      <x:c r="F20" s="5" t="s">
        <x:v>67</x:v>
      </x:c>
      <x:c r="G20" s="5" t="s">
        <x:v>150</x:v>
      </x:c>
      <x:c r="H20" s="5" t="s">
        <x:v>157</x:v>
      </x:c>
      <x:c r="I20" s="6">
        <x:v>45</x:v>
      </x:c>
      <x:c r="J20" s="5" t="s">
        <x:v>158</x:v>
      </x:c>
      <x:c r="K20" s="5" t="s">
        <x:v>159</x:v>
      </x:c>
      <x:c r="L20" s="5" t="s">
        <x:v>46</x:v>
      </x:c>
      <x:c r="M20" s="5" t="s">
        <x:v>47</x:v>
      </x:c>
      <x:c r="N20" s="1"/>
      <x:c r="O20" s="1"/>
      <x:c r="P20" s="1"/>
    </x:row>
    <x:row r="21" ht="25.5">
      <x:c r="A21" s="5" t="s">
        <x:v>160</x:v>
      </x:c>
      <x:c r="B21" s="5" t="s">
        <x:v>134</x:v>
      </x:c>
      <x:c r="C21" s="5" t="s">
        <x:v>135</x:v>
      </x:c>
      <x:c r="D21" s="5" t="s">
        <x:v>161</x:v>
      </x:c>
      <x:c r="E21" s="5" t="s">
        <x:v>162</x:v>
      </x:c>
      <x:c r="F21" s="5" t="s">
        <x:v>67</x:v>
      </x:c>
      <x:c r="G21" s="5" t="s">
        <x:v>163</x:v>
      </x:c>
      <x:c r="H21" s="5" t="s">
        <x:v>164</x:v>
      </x:c>
      <x:c r="I21" s="6">
        <x:v>50</x:v>
      </x:c>
      <x:c r="J21" s="5" t="s">
        <x:v>165</x:v>
      </x:c>
      <x:c r="K21" s="5" t="s">
        <x:v>166</x:v>
      </x:c>
      <x:c r="L21" s="5" t="s">
        <x:v>46</x:v>
      </x:c>
      <x:c r="M21" s="5" t="s">
        <x:v>47</x:v>
      </x:c>
      <x:c r="N21" s="1"/>
      <x:c r="O21" s="1"/>
      <x:c r="P21" s="1"/>
    </x:row>
    <x:row r="22" ht="25.5">
      <x:c r="A22" s="5" t="s">
        <x:v>167</x:v>
      </x:c>
      <x:c r="B22" s="5" t="s">
        <x:v>134</x:v>
      </x:c>
      <x:c r="C22" s="5" t="s">
        <x:v>135</x:v>
      </x:c>
      <x:c r="D22" s="5" t="s">
        <x:v>168</x:v>
      </x:c>
      <x:c r="E22" s="5" t="s">
        <x:v>169</x:v>
      </x:c>
      <x:c r="F22" s="5" t="s">
        <x:v>67</x:v>
      </x:c>
      <x:c r="G22" s="5" t="s">
        <x:v>150</x:v>
      </x:c>
      <x:c r="H22" s="5" t="s">
        <x:v>170</x:v>
      </x:c>
      <x:c r="I22" s="6">
        <x:v>50</x:v>
      </x:c>
      <x:c r="J22" s="5" t="s">
        <x:v>171</x:v>
      </x:c>
      <x:c r="K22" s="5" t="s">
        <x:v>172</x:v>
      </x:c>
      <x:c r="L22" s="5" t="s">
        <x:v>46</x:v>
      </x:c>
      <x:c r="M22" s="5" t="s">
        <x:v>47</x:v>
      </x:c>
      <x:c r="N22" s="1"/>
      <x:c r="O22" s="1"/>
      <x:c r="P22" s="1"/>
    </x:row>
    <x:row r="23" ht="25.5">
      <x:c r="A23" s="5" t="s">
        <x:v>173</x:v>
      </x:c>
      <x:c r="B23" s="5" t="s">
        <x:v>174</x:v>
      </x:c>
      <x:c r="C23" s="5" t="s">
        <x:v>175</x:v>
      </x:c>
      <x:c r="D23" s="5" t="s">
        <x:v>176</x:v>
      </x:c>
      <x:c r="E23" s="5" t="s">
        <x:v>177</x:v>
      </x:c>
      <x:c r="F23" s="5" t="s">
        <x:v>67</x:v>
      </x:c>
      <x:c r="G23" s="5" t="s">
        <x:v>178</x:v>
      </x:c>
      <x:c r="H23" s="5" t="s">
        <x:v>179</x:v>
      </x:c>
      <x:c r="I23" s="6">
        <x:v>50</x:v>
      </x:c>
      <x:c r="J23" s="5" t="s">
        <x:v>180</x:v>
      </x:c>
      <x:c r="K23" s="5" t="s">
        <x:v>181</x:v>
      </x:c>
      <x:c r="L23" s="5" t="s">
        <x:v>46</x:v>
      </x:c>
      <x:c r="M23" s="5" t="s">
        <x:v>47</x:v>
      </x:c>
      <x:c r="N23" s="1"/>
      <x:c r="O23" s="1"/>
      <x:c r="P23" s="1"/>
    </x:row>
    <x:row r="24" ht="25.5">
      <x:c r="A24" s="5" t="s">
        <x:v>182</x:v>
      </x:c>
      <x:c r="B24" s="5" t="s">
        <x:v>174</x:v>
      </x:c>
      <x:c r="C24" s="5" t="s">
        <x:v>175</x:v>
      </x:c>
      <x:c r="D24" s="5" t="s">
        <x:v>183</x:v>
      </x:c>
      <x:c r="E24" s="5" t="s">
        <x:v>184</x:v>
      </x:c>
      <x:c r="F24" s="5" t="s">
        <x:v>41</x:v>
      </x:c>
      <x:c r="G24" s="5" t="s">
        <x:v>185</x:v>
      </x:c>
      <x:c r="H24" s="5" t="s">
        <x:v>186</x:v>
      </x:c>
      <x:c r="I24" s="6">
        <x:v>55</x:v>
      </x:c>
      <x:c r="J24" s="5" t="s">
        <x:v>187</x:v>
      </x:c>
      <x:c r="K24" s="5" t="s">
        <x:v>188</x:v>
      </x:c>
      <x:c r="L24" s="5" t="s">
        <x:v>46</x:v>
      </x:c>
      <x:c r="M24" s="5" t="s">
        <x:v>47</x:v>
      </x:c>
      <x:c r="N24" s="1"/>
      <x:c r="O24" s="1"/>
      <x:c r="P24" s="1"/>
    </x:row>
    <x:row r="25" ht="25.5">
      <x:c r="A25" s="5" t="s">
        <x:v>189</x:v>
      </x:c>
      <x:c r="B25" s="5" t="s">
        <x:v>174</x:v>
      </x:c>
      <x:c r="C25" s="5" t="s">
        <x:v>175</x:v>
      </x:c>
      <x:c r="D25" s="5" t="s">
        <x:v>190</x:v>
      </x:c>
      <x:c r="E25" s="5" t="s">
        <x:v>191</x:v>
      </x:c>
      <x:c r="F25" s="5" t="s">
        <x:v>67</x:v>
      </x:c>
      <x:c r="G25" s="5" t="s">
        <x:v>192</x:v>
      </x:c>
      <x:c r="H25" s="5" t="s">
        <x:v>193</x:v>
      </x:c>
      <x:c r="I25" s="6">
        <x:v>55</x:v>
      </x:c>
      <x:c r="J25" s="5" t="s">
        <x:v>194</x:v>
      </x:c>
      <x:c r="K25" s="5" t="s">
        <x:v>195</x:v>
      </x:c>
      <x:c r="L25" s="5" t="s">
        <x:v>46</x:v>
      </x:c>
      <x:c r="M25" s="5" t="s">
        <x:v>47</x:v>
      </x:c>
      <x:c r="N25" s="1"/>
      <x:c r="O25" s="1"/>
      <x:c r="P25" s="1"/>
    </x:row>
    <x:row r="26" ht="25.5">
      <x:c r="A26" s="5" t="s">
        <x:v>196</x:v>
      </x:c>
      <x:c r="B26" s="5" t="s">
        <x:v>174</x:v>
      </x:c>
      <x:c r="C26" s="5" t="s">
        <x:v>175</x:v>
      </x:c>
      <x:c r="D26" s="5" t="s">
        <x:v>197</x:v>
      </x:c>
      <x:c r="E26" s="5" t="s">
        <x:v>198</x:v>
      </x:c>
      <x:c r="F26" s="5" t="s">
        <x:v>41</x:v>
      </x:c>
      <x:c r="G26" s="5" t="s">
        <x:v>42</x:v>
      </x:c>
      <x:c r="H26" s="5" t="s">
        <x:v>199</x:v>
      </x:c>
      <x:c r="I26" s="6">
        <x:v>50</x:v>
      </x:c>
      <x:c r="J26" s="5" t="s">
        <x:v>200</x:v>
      </x:c>
      <x:c r="K26" s="5" t="s">
        <x:v>201</x:v>
      </x:c>
      <x:c r="L26" s="5" t="s">
        <x:v>46</x:v>
      </x:c>
      <x:c r="M26" s="5" t="s">
        <x:v>47</x:v>
      </x:c>
      <x:c r="N26" s="1"/>
      <x:c r="O26" s="1"/>
      <x:c r="P26" s="1"/>
    </x:row>
    <x:row r="27" ht="25.5">
      <x:c r="A27" s="5" t="s">
        <x:v>202</x:v>
      </x:c>
      <x:c r="B27" s="5" t="s">
        <x:v>174</x:v>
      </x:c>
      <x:c r="C27" s="5" t="s">
        <x:v>175</x:v>
      </x:c>
      <x:c r="D27" s="5" t="s">
        <x:v>203</x:v>
      </x:c>
      <x:c r="E27" s="5" t="s">
        <x:v>204</x:v>
      </x:c>
      <x:c r="F27" s="5" t="s">
        <x:v>41</x:v>
      </x:c>
      <x:c r="G27" s="5" t="s">
        <x:v>85</x:v>
      </x:c>
      <x:c r="H27" s="5" t="s">
        <x:v>205</x:v>
      </x:c>
      <x:c r="I27" s="6">
        <x:v>55</x:v>
      </x:c>
      <x:c r="J27" s="5" t="s">
        <x:v>206</x:v>
      </x:c>
      <x:c r="K27" s="5" t="s">
        <x:v>207</x:v>
      </x:c>
      <x:c r="L27" s="5" t="s">
        <x:v>46</x:v>
      </x:c>
      <x:c r="M27" s="5" t="s">
        <x:v>47</x:v>
      </x:c>
      <x:c r="N27" s="1"/>
      <x:c r="O27" s="1"/>
      <x:c r="P27" s="1"/>
    </x:row>
    <x:row r="28" ht="25.5">
      <x:c r="A28" s="5" t="s">
        <x:v>208</x:v>
      </x:c>
      <x:c r="B28" s="5" t="s">
        <x:v>209</x:v>
      </x:c>
      <x:c r="C28" s="5" t="s">
        <x:v>210</x:v>
      </x:c>
      <x:c r="D28" s="5" t="s">
        <x:v>211</x:v>
      </x:c>
      <x:c r="E28" s="5" t="s">
        <x:v>212</x:v>
      </x:c>
      <x:c r="F28" s="5" t="s">
        <x:v>67</x:v>
      </x:c>
      <x:c r="G28" s="5" t="s">
        <x:v>213</x:v>
      </x:c>
      <x:c r="H28" s="5" t="s">
        <x:v>214</x:v>
      </x:c>
      <x:c r="I28" s="6">
        <x:v>40</x:v>
      </x:c>
      <x:c r="J28" s="5" t="s">
        <x:v>215</x:v>
      </x:c>
      <x:c r="K28" s="5" t="s">
        <x:v>216</x:v>
      </x:c>
      <x:c r="L28" s="5" t="s">
        <x:v>46</x:v>
      </x:c>
      <x:c r="M28" s="5" t="s">
        <x:v>47</x:v>
      </x:c>
      <x:c r="N28" s="1"/>
      <x:c r="O28" s="1"/>
      <x:c r="P28" s="1"/>
    </x:row>
    <x:row r="29" ht="25.5">
      <x:c r="A29" s="5" t="s">
        <x:v>217</x:v>
      </x:c>
      <x:c r="B29" s="5" t="s">
        <x:v>209</x:v>
      </x:c>
      <x:c r="C29" s="5" t="s">
        <x:v>210</x:v>
      </x:c>
      <x:c r="D29" s="5" t="s">
        <x:v>218</x:v>
      </x:c>
      <x:c r="E29" s="5" t="s">
        <x:v>219</x:v>
      </x:c>
      <x:c r="F29" s="5" t="s">
        <x:v>41</x:v>
      </x:c>
      <x:c r="G29" s="5" t="s">
        <x:v>85</x:v>
      </x:c>
      <x:c r="H29" s="5" t="s">
        <x:v>220</x:v>
      </x:c>
      <x:c r="I29" s="6">
        <x:v>40</x:v>
      </x:c>
      <x:c r="J29" s="5" t="s">
        <x:v>221</x:v>
      </x:c>
      <x:c r="K29" s="5" t="s">
        <x:v>222</x:v>
      </x:c>
      <x:c r="L29" s="5" t="s">
        <x:v>46</x:v>
      </x:c>
      <x:c r="M29" s="5" t="s">
        <x:v>47</x:v>
      </x:c>
      <x:c r="N29" s="1"/>
      <x:c r="O29" s="1"/>
      <x:c r="P29" s="1"/>
    </x:row>
    <x:row r="30" ht="25.5">
      <x:c r="A30" s="5" t="s">
        <x:v>223</x:v>
      </x:c>
      <x:c r="B30" s="5" t="s">
        <x:v>209</x:v>
      </x:c>
      <x:c r="C30" s="5" t="s">
        <x:v>210</x:v>
      </x:c>
      <x:c r="D30" s="5" t="s">
        <x:v>224</x:v>
      </x:c>
      <x:c r="E30" s="5" t="s">
        <x:v>225</x:v>
      </x:c>
      <x:c r="F30" s="5" t="s">
        <x:v>41</x:v>
      </x:c>
      <x:c r="G30" s="5" t="s">
        <x:v>226</x:v>
      </x:c>
      <x:c r="H30" s="5" t="s">
        <x:v>227</x:v>
      </x:c>
      <x:c r="I30" s="6">
        <x:v>40</x:v>
      </x:c>
      <x:c r="J30" s="5" t="s">
        <x:v>228</x:v>
      </x:c>
      <x:c r="K30" s="5" t="s">
        <x:v>229</x:v>
      </x:c>
      <x:c r="L30" s="5" t="s">
        <x:v>46</x:v>
      </x:c>
      <x:c r="M30" s="5" t="s">
        <x:v>47</x:v>
      </x:c>
      <x:c r="N30" s="1"/>
      <x:c r="O30" s="1"/>
      <x:c r="P30" s="1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a507e76f7f044cbc"/>
  </x:tableParts>
</x:worksheet>
</file>

<file path=xl/worksheets/sheet3.xml><?xml version="1.0" encoding="utf-8"?>
<x:worksheet xmlns:x="http://schemas.openxmlformats.org/spreadsheetml/2006/main">
  <x:sheetFormatPr defaultRowHeight="14.25"/>
  <x:cols>
    <x:col min="1" max="1" width="8" customWidth="1"/>
    <x:col min="2" max="2" width="23" customWidth="1"/>
    <x:col min="3" max="3" width="20" customWidth="1"/>
    <x:col min="4" max="5" width="42" customWidth="1"/>
    <x:col min="6" max="6" width="38" customWidth="1"/>
    <x:col min="7" max="7" width="8" customWidth="1"/>
    <x:col min="8" max="8" width="22" customWidth="1"/>
    <x:col min="9" max="9" width="25" customWidth="1"/>
    <x:col min="10" max="10" width="23" customWidth="1"/>
    <x:col min="11" max="11" width="62" customWidth="1"/>
    <x:col min="12" max="12" width="45" customWidth="1"/>
    <x:col min="13" max="14" width="55" customWidth="1"/>
    <x:col min="15" max="15" width="52" customWidth="1"/>
    <x:col min="16" max="19" width="11" customWidth="1"/>
    <x:col min="20" max="21" width="12" customWidth="1"/>
    <x:col min="22" max="22" width="15" customWidth="1"/>
    <x:col min="23" max="23" width="55" customWidth="1"/>
  </x:cols>
  <x:sheetData>
    <x:row r="1" ht="30" customHeight="1">
      <x:c r="A1" s="11" t="s">
        <x:v>230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"/>
      <x:c r="V1" s="1"/>
      <x:c r="W1" s="1"/>
    </x:row>
    <x:row r="2" ht="33.95000076293945" customHeight="1">
      <x:c r="A2" s="14" t="s">
        <x:v>231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"/>
      <x:c r="V2" s="1"/>
      <x:c r="W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</x:row>
    <x:row r="4" ht="25.5">
      <x:c r="A4" s="2" t="s">
        <x:v>22</x:v>
      </x:c>
      <x:c r="B4" s="2" t="s">
        <x:v>23</x:v>
      </x:c>
      <x:c r="C4" s="2" t="s">
        <x:v>24</x:v>
      </x:c>
      <x:c r="D4" s="2" t="s">
        <x:v>25</x:v>
      </x:c>
      <x:c r="E4" s="2" t="s">
        <x:v>232</x:v>
      </x:c>
      <x:c r="F4" s="2" t="s">
        <x:v>233</x:v>
      </x:c>
      <x:c r="G4" s="2" t="s">
        <x:v>234</x:v>
      </x:c>
      <x:c r="H4" s="2" t="s">
        <x:v>27</x:v>
      </x:c>
      <x:c r="I4" s="2" t="s">
        <x:v>235</x:v>
      </x:c>
      <x:c r="J4" s="2" t="s">
        <x:v>28</x:v>
      </x:c>
      <x:c r="K4" s="2" t="s">
        <x:v>236</x:v>
      </x:c>
      <x:c r="L4" s="2" t="s">
        <x:v>29</x:v>
      </x:c>
      <x:c r="M4" s="2" t="s">
        <x:v>237</x:v>
      </x:c>
      <x:c r="N4" s="2" t="s">
        <x:v>238</x:v>
      </x:c>
      <x:c r="O4" s="2" t="s">
        <x:v>239</x:v>
      </x:c>
      <x:c r="P4" s="2" t="s">
        <x:v>30</x:v>
      </x:c>
      <x:c r="Q4" s="2" t="s">
        <x:v>240</x:v>
      </x:c>
      <x:c r="R4" s="2" t="s">
        <x:v>241</x:v>
      </x:c>
      <x:c r="S4" s="2" t="s">
        <x:v>242</x:v>
      </x:c>
      <x:c r="T4" s="2" t="s">
        <x:v>243</x:v>
      </x:c>
      <x:c r="U4" s="2" t="s">
        <x:v>244</x:v>
      </x:c>
      <x:c r="V4" s="2" t="s">
        <x:v>245</x:v>
      </x:c>
      <x:c r="W4" s="2" t="s">
        <x:v>246</x:v>
      </x:c>
    </x:row>
    <x:row r="5" ht="38.25">
      <x:c r="A5" s="5" t="s">
        <x:v>36</x:v>
      </x:c>
      <x:c r="B5" s="5" t="s">
        <x:v>37</x:v>
      </x:c>
      <x:c r="C5" s="5" t="s">
        <x:v>38</x:v>
      </x:c>
      <x:c r="D5" s="5" t="s">
        <x:v>39</x:v>
      </x:c>
      <x:c r="E5" s="5" t="s">
        <x:v>247</x:v>
      </x:c>
      <x:c r="F5" s="5" t="s">
        <x:v>40</x:v>
      </x:c>
      <x:c r="G5" s="5">
        <x:v>1</x:v>
      </x:c>
      <x:c r="H5" s="5" t="s">
        <x:v>248</x:v>
      </x:c>
      <x:c r="I5" s="5" t="s">
        <x:v>249</x:v>
      </x:c>
      <x:c r="J5" s="5" t="s">
        <x:v>42</x:v>
      </x:c>
      <x:c r="K5" s="5" t="s">
        <x:v>250</x:v>
      </x:c>
      <x:c r="L5" s="5" t="s">
        <x:v>43</x:v>
      </x:c>
      <x:c r="M5" s="5" t="s">
        <x:v>251</x:v>
      </x:c>
      <x:c r="N5" s="5" t="s">
        <x:v>252</x:v>
      </x:c>
      <x:c r="O5" s="5" t="s">
        <x:v>45</x:v>
      </x:c>
      <x:c r="P5" s="5">
        <x:v>45</x:v>
      </x:c>
      <x:c r="Q5" s="6">
        <x:v>5</x:v>
      </x:c>
      <x:c r="R5" s="6">
        <x:v>5</x:v>
      </x:c>
      <x:c r="S5" s="6">
        <x:v>5</x:v>
      </x:c>
      <x:c r="T5" s="6">
        <x:v>4</x:v>
      </x:c>
      <x:c r="U5" s="6">
        <x:v>4</x:v>
      </x:c>
      <x:c r="V5" s="9" t="n">
        <x:f t="shared" ref="V5:V36" si="0">ROUND(Q5*0.3+R5*0.2+S5*0.2+T5*0.15+U5*0.15,2)</x:f>
        <x:v>4.7</x:v>
      </x:c>
      <x:c r="W5" s="5" t="s">
        <x:v>253</x:v>
      </x:c>
    </x:row>
    <x:row r="6" ht="25.5">
      <x:c r="A6" s="5" t="s">
        <x:v>36</x:v>
      </x:c>
      <x:c r="B6" s="5" t="s">
        <x:v>37</x:v>
      </x:c>
      <x:c r="C6" s="5" t="s">
        <x:v>38</x:v>
      </x:c>
      <x:c r="D6" s="5" t="s">
        <x:v>39</x:v>
      </x:c>
      <x:c r="E6" s="5" t="s">
        <x:v>247</x:v>
      </x:c>
      <x:c r="F6" s="5" t="s">
        <x:v>254</x:v>
      </x:c>
      <x:c r="G6" s="5">
        <x:v>2</x:v>
      </x:c>
      <x:c r="H6" s="5" t="s">
        <x:v>255</x:v>
      </x:c>
      <x:c r="I6" s="5" t="s">
        <x:v>256</x:v>
      </x:c>
      <x:c r="J6" s="5" t="s">
        <x:v>92</x:v>
      </x:c>
      <x:c r="K6" s="5" t="s">
        <x:v>257</x:v>
      </x:c>
      <x:c r="L6" s="5" t="s">
        <x:v>258</x:v>
      </x:c>
      <x:c r="M6" s="5" t="s">
        <x:v>259</x:v>
      </x:c>
      <x:c r="N6" s="5" t="s">
        <x:v>260</x:v>
      </x:c>
      <x:c r="O6" s="5" t="s">
        <x:v>261</x:v>
      </x:c>
      <x:c r="P6" s="5">
        <x:v>45</x:v>
      </x:c>
      <x:c r="Q6" s="6">
        <x:v>4</x:v>
      </x:c>
      <x:c r="R6" s="6">
        <x:v>5</x:v>
      </x:c>
      <x:c r="S6" s="6">
        <x:v>5</x:v>
      </x:c>
      <x:c r="T6" s="6">
        <x:v>4</x:v>
      </x:c>
      <x:c r="U6" s="6">
        <x:v>5</x:v>
      </x:c>
      <x:c r="V6" s="9">
        <x:f t="shared" si="0"/>
        <x:v>4.55</x:v>
      </x:c>
      <x:c r="W6" s="5" t="s">
        <x:v>262</x:v>
      </x:c>
    </x:row>
    <x:row r="7" ht="25.5">
      <x:c r="A7" s="5" t="s">
        <x:v>36</x:v>
      </x:c>
      <x:c r="B7" s="5" t="s">
        <x:v>37</x:v>
      </x:c>
      <x:c r="C7" s="5" t="s">
        <x:v>38</x:v>
      </x:c>
      <x:c r="D7" s="5" t="s">
        <x:v>39</x:v>
      </x:c>
      <x:c r="E7" s="5" t="s">
        <x:v>247</x:v>
      </x:c>
      <x:c r="F7" s="5" t="s">
        <x:v>263</x:v>
      </x:c>
      <x:c r="G7" s="5">
        <x:v>3</x:v>
      </x:c>
      <x:c r="H7" s="5" t="s">
        <x:v>248</x:v>
      </x:c>
      <x:c r="I7" s="5" t="s">
        <x:v>264</x:v>
      </x:c>
      <x:c r="J7" s="5" t="s">
        <x:v>265</x:v>
      </x:c>
      <x:c r="K7" s="5" t="s">
        <x:v>266</x:v>
      </x:c>
      <x:c r="L7" s="5" t="s">
        <x:v>267</x:v>
      </x:c>
      <x:c r="M7" s="5" t="s">
        <x:v>268</x:v>
      </x:c>
      <x:c r="N7" s="5" t="s">
        <x:v>269</x:v>
      </x:c>
      <x:c r="O7" s="5" t="s">
        <x:v>270</x:v>
      </x:c>
      <x:c r="P7" s="5">
        <x:v>45</x:v>
      </x:c>
      <x:c r="Q7" s="6">
        <x:v>3</x:v>
      </x:c>
      <x:c r="R7" s="6">
        <x:v>4</x:v>
      </x:c>
      <x:c r="S7" s="6">
        <x:v>5</x:v>
      </x:c>
      <x:c r="T7" s="6">
        <x:v>3</x:v>
      </x:c>
      <x:c r="U7" s="6">
        <x:v>4</x:v>
      </x:c>
      <x:c r="V7" s="9">
        <x:f t="shared" si="0"/>
        <x:v>3.75</x:v>
      </x:c>
      <x:c r="W7" s="5" t="s">
        <x:v>271</x:v>
      </x:c>
    </x:row>
    <x:row r="8" ht="25.5">
      <x:c r="A8" s="5" t="s">
        <x:v>49</x:v>
      </x:c>
      <x:c r="B8" s="5" t="s">
        <x:v>37</x:v>
      </x:c>
      <x:c r="C8" s="5" t="s">
        <x:v>38</x:v>
      </x:c>
      <x:c r="D8" s="5" t="s">
        <x:v>50</x:v>
      </x:c>
      <x:c r="E8" s="5" t="s">
        <x:v>272</x:v>
      </x:c>
      <x:c r="F8" s="5" t="s">
        <x:v>51</x:v>
      </x:c>
      <x:c r="G8" s="5">
        <x:v>1</x:v>
      </x:c>
      <x:c r="H8" s="5" t="s">
        <x:v>248</x:v>
      </x:c>
      <x:c r="I8" s="5" t="s">
        <x:v>273</x:v>
      </x:c>
      <x:c r="J8" s="5" t="s">
        <x:v>42</x:v>
      </x:c>
      <x:c r="K8" s="5" t="s">
        <x:v>274</x:v>
      </x:c>
      <x:c r="L8" s="5" t="s">
        <x:v>52</x:v>
      </x:c>
      <x:c r="M8" s="5" t="s">
        <x:v>275</x:v>
      </x:c>
      <x:c r="N8" s="5" t="s">
        <x:v>276</x:v>
      </x:c>
      <x:c r="O8" s="5" t="s">
        <x:v>54</x:v>
      </x:c>
      <x:c r="P8" s="5">
        <x:v>35</x:v>
      </x:c>
      <x:c r="Q8" s="6">
        <x:v>5</x:v>
      </x:c>
      <x:c r="R8" s="6">
        <x:v>5</x:v>
      </x:c>
      <x:c r="S8" s="6">
        <x:v>5</x:v>
      </x:c>
      <x:c r="T8" s="6">
        <x:v>4</x:v>
      </x:c>
      <x:c r="U8" s="6">
        <x:v>4</x:v>
      </x:c>
      <x:c r="V8" s="9">
        <x:f t="shared" si="0"/>
        <x:v>4.7</x:v>
      </x:c>
      <x:c r="W8" s="5" t="s">
        <x:v>277</x:v>
      </x:c>
    </x:row>
    <x:row r="9" ht="25.5">
      <x:c r="A9" s="5" t="s">
        <x:v>49</x:v>
      </x:c>
      <x:c r="B9" s="5" t="s">
        <x:v>37</x:v>
      </x:c>
      <x:c r="C9" s="5" t="s">
        <x:v>38</x:v>
      </x:c>
      <x:c r="D9" s="5" t="s">
        <x:v>50</x:v>
      </x:c>
      <x:c r="E9" s="5" t="s">
        <x:v>272</x:v>
      </x:c>
      <x:c r="F9" s="5" t="s">
        <x:v>278</x:v>
      </x:c>
      <x:c r="G9" s="5">
        <x:v>2</x:v>
      </x:c>
      <x:c r="H9" s="5" t="s">
        <x:v>279</x:v>
      </x:c>
      <x:c r="I9" s="5" t="s">
        <x:v>280</x:v>
      </x:c>
      <x:c r="J9" s="5" t="s">
        <x:v>281</x:v>
      </x:c>
      <x:c r="K9" s="5" t="s">
        <x:v>282</x:v>
      </x:c>
      <x:c r="L9" s="5" t="s">
        <x:v>283</x:v>
      </x:c>
      <x:c r="M9" s="5" t="s">
        <x:v>284</x:v>
      </x:c>
      <x:c r="N9" s="5" t="s">
        <x:v>285</x:v>
      </x:c>
      <x:c r="O9" s="5" t="s">
        <x:v>286</x:v>
      </x:c>
      <x:c r="P9" s="5">
        <x:v>35</x:v>
      </x:c>
      <x:c r="Q9" s="6">
        <x:v>4</x:v>
      </x:c>
      <x:c r="R9" s="6">
        <x:v>5</x:v>
      </x:c>
      <x:c r="S9" s="6">
        <x:v>5</x:v>
      </x:c>
      <x:c r="T9" s="6">
        <x:v>4</x:v>
      </x:c>
      <x:c r="U9" s="6">
        <x:v>5</x:v>
      </x:c>
      <x:c r="V9" s="9">
        <x:f t="shared" si="0"/>
        <x:v>4.55</x:v>
      </x:c>
      <x:c r="W9" s="5" t="s">
        <x:v>287</x:v>
      </x:c>
    </x:row>
    <x:row r="10" ht="25.5">
      <x:c r="A10" s="5" t="s">
        <x:v>49</x:v>
      </x:c>
      <x:c r="B10" s="5" t="s">
        <x:v>37</x:v>
      </x:c>
      <x:c r="C10" s="5" t="s">
        <x:v>38</x:v>
      </x:c>
      <x:c r="D10" s="5" t="s">
        <x:v>50</x:v>
      </x:c>
      <x:c r="E10" s="5" t="s">
        <x:v>272</x:v>
      </x:c>
      <x:c r="F10" s="5" t="s">
        <x:v>288</x:v>
      </x:c>
      <x:c r="G10" s="5">
        <x:v>3</x:v>
      </x:c>
      <x:c r="H10" s="5" t="s">
        <x:v>248</x:v>
      </x:c>
      <x:c r="I10" s="5" t="s">
        <x:v>289</x:v>
      </x:c>
      <x:c r="J10" s="5" t="s">
        <x:v>290</x:v>
      </x:c>
      <x:c r="K10" s="5" t="s">
        <x:v>291</x:v>
      </x:c>
      <x:c r="L10" s="5" t="s">
        <x:v>292</x:v>
      </x:c>
      <x:c r="M10" s="5" t="s">
        <x:v>293</x:v>
      </x:c>
      <x:c r="N10" s="5" t="s">
        <x:v>294</x:v>
      </x:c>
      <x:c r="O10" s="5" t="s">
        <x:v>295</x:v>
      </x:c>
      <x:c r="P10" s="5">
        <x:v>35</x:v>
      </x:c>
      <x:c r="Q10" s="6">
        <x:v>4</x:v>
      </x:c>
      <x:c r="R10" s="6">
        <x:v>5</x:v>
      </x:c>
      <x:c r="S10" s="6">
        <x:v>4</x:v>
      </x:c>
      <x:c r="T10" s="6">
        <x:v>3</x:v>
      </x:c>
      <x:c r="U10" s="6">
        <x:v>4</x:v>
      </x:c>
      <x:c r="V10" s="9">
        <x:f t="shared" si="0"/>
        <x:v>4.05</x:v>
      </x:c>
      <x:c r="W10" s="5" t="s">
        <x:v>296</x:v>
      </x:c>
    </x:row>
    <x:row r="11" ht="25.5">
      <x:c r="A11" s="5" t="s">
        <x:v>56</x:v>
      </x:c>
      <x:c r="B11" s="5" t="s">
        <x:v>37</x:v>
      </x:c>
      <x:c r="C11" s="5" t="s">
        <x:v>38</x:v>
      </x:c>
      <x:c r="D11" s="5" t="s">
        <x:v>57</x:v>
      </x:c>
      <x:c r="E11" s="5" t="s">
        <x:v>297</x:v>
      </x:c>
      <x:c r="F11" s="5" t="s">
        <x:v>58</x:v>
      </x:c>
      <x:c r="G11" s="5">
        <x:v>1</x:v>
      </x:c>
      <x:c r="H11" s="5" t="s">
        <x:v>248</x:v>
      </x:c>
      <x:c r="I11" s="5" t="s">
        <x:v>298</x:v>
      </x:c>
      <x:c r="J11" s="5" t="s">
        <x:v>59</x:v>
      </x:c>
      <x:c r="K11" s="5" t="s">
        <x:v>299</x:v>
      </x:c>
      <x:c r="L11" s="5" t="s">
        <x:v>60</x:v>
      </x:c>
      <x:c r="M11" s="5" t="s">
        <x:v>300</x:v>
      </x:c>
      <x:c r="N11" s="5" t="s">
        <x:v>301</x:v>
      </x:c>
      <x:c r="O11" s="5" t="s">
        <x:v>62</x:v>
      </x:c>
      <x:c r="P11" s="5">
        <x:v>30</x:v>
      </x:c>
      <x:c r="Q11" s="6">
        <x:v>5</x:v>
      </x:c>
      <x:c r="R11" s="6">
        <x:v>5</x:v>
      </x:c>
      <x:c r="S11" s="6">
        <x:v>5</x:v>
      </x:c>
      <x:c r="T11" s="6">
        <x:v>4</x:v>
      </x:c>
      <x:c r="U11" s="6">
        <x:v>5</x:v>
      </x:c>
      <x:c r="V11" s="9">
        <x:f t="shared" si="0"/>
        <x:v>4.8499999999999996</x:v>
      </x:c>
      <x:c r="W11" s="5" t="s">
        <x:v>302</x:v>
      </x:c>
    </x:row>
    <x:row r="12">
      <x:c r="A12" s="5" t="s">
        <x:v>56</x:v>
      </x:c>
      <x:c r="B12" s="5" t="s">
        <x:v>37</x:v>
      </x:c>
      <x:c r="C12" s="5" t="s">
        <x:v>38</x:v>
      </x:c>
      <x:c r="D12" s="5" t="s">
        <x:v>57</x:v>
      </x:c>
      <x:c r="E12" s="5" t="s">
        <x:v>297</x:v>
      </x:c>
      <x:c r="F12" s="5" t="s">
        <x:v>303</x:v>
      </x:c>
      <x:c r="G12" s="5">
        <x:v>2</x:v>
      </x:c>
      <x:c r="H12" s="5" t="s">
        <x:v>279</x:v>
      </x:c>
      <x:c r="I12" s="5" t="s">
        <x:v>280</x:v>
      </x:c>
      <x:c r="J12" s="5" t="s">
        <x:v>92</x:v>
      </x:c>
      <x:c r="K12" s="5" t="s">
        <x:v>304</x:v>
      </x:c>
      <x:c r="L12" s="5" t="s">
        <x:v>305</x:v>
      </x:c>
      <x:c r="M12" s="5" t="s">
        <x:v>306</x:v>
      </x:c>
      <x:c r="N12" s="5" t="s">
        <x:v>307</x:v>
      </x:c>
      <x:c r="O12" s="5" t="s">
        <x:v>308</x:v>
      </x:c>
      <x:c r="P12" s="5">
        <x:v>30</x:v>
      </x:c>
      <x:c r="Q12" s="6">
        <x:v>4</x:v>
      </x:c>
      <x:c r="R12" s="6">
        <x:v>5</x:v>
      </x:c>
      <x:c r="S12" s="6">
        <x:v>5</x:v>
      </x:c>
      <x:c r="T12" s="6">
        <x:v>4</x:v>
      </x:c>
      <x:c r="U12" s="6">
        <x:v>5</x:v>
      </x:c>
      <x:c r="V12" s="9">
        <x:f t="shared" si="0"/>
        <x:v>4.55</x:v>
      </x:c>
      <x:c r="W12" s="5" t="s">
        <x:v>309</x:v>
      </x:c>
    </x:row>
    <x:row r="13" ht="25.5">
      <x:c r="A13" s="5" t="s">
        <x:v>56</x:v>
      </x:c>
      <x:c r="B13" s="5" t="s">
        <x:v>37</x:v>
      </x:c>
      <x:c r="C13" s="5" t="s">
        <x:v>38</x:v>
      </x:c>
      <x:c r="D13" s="5" t="s">
        <x:v>57</x:v>
      </x:c>
      <x:c r="E13" s="5" t="s">
        <x:v>297</x:v>
      </x:c>
      <x:c r="F13" s="5" t="s">
        <x:v>310</x:v>
      </x:c>
      <x:c r="G13" s="5">
        <x:v>3</x:v>
      </x:c>
      <x:c r="H13" s="5" t="s">
        <x:v>248</x:v>
      </x:c>
      <x:c r="I13" s="5" t="s">
        <x:v>311</x:v>
      </x:c>
      <x:c r="J13" s="5" t="s">
        <x:v>108</x:v>
      </x:c>
      <x:c r="K13" s="5" t="s">
        <x:v>312</x:v>
      </x:c>
      <x:c r="L13" s="5" t="s">
        <x:v>313</x:v>
      </x:c>
      <x:c r="M13" s="5" t="s">
        <x:v>314</x:v>
      </x:c>
      <x:c r="N13" s="5" t="s">
        <x:v>315</x:v>
      </x:c>
      <x:c r="O13" s="5" t="s">
        <x:v>316</x:v>
      </x:c>
      <x:c r="P13" s="5">
        <x:v>30</x:v>
      </x:c>
      <x:c r="Q13" s="6">
        <x:v>4</x:v>
      </x:c>
      <x:c r="R13" s="6">
        <x:v>4</x:v>
      </x:c>
      <x:c r="S13" s="6">
        <x:v>4</x:v>
      </x:c>
      <x:c r="T13" s="6">
        <x:v>3</x:v>
      </x:c>
      <x:c r="U13" s="6">
        <x:v>4</x:v>
      </x:c>
      <x:c r="V13" s="9">
        <x:f t="shared" si="0"/>
        <x:v>3.85</x:v>
      </x:c>
      <x:c r="W13" s="5" t="s">
        <x:v>317</x:v>
      </x:c>
    </x:row>
    <x:row r="14" ht="25.5">
      <x:c r="A14" s="5" t="s">
        <x:v>64</x:v>
      </x:c>
      <x:c r="B14" s="5" t="s">
        <x:v>37</x:v>
      </x:c>
      <x:c r="C14" s="5" t="s">
        <x:v>38</x:v>
      </x:c>
      <x:c r="D14" s="5" t="s">
        <x:v>65</x:v>
      </x:c>
      <x:c r="E14" s="5" t="s">
        <x:v>318</x:v>
      </x:c>
      <x:c r="F14" s="5" t="s">
        <x:v>66</x:v>
      </x:c>
      <x:c r="G14" s="5">
        <x:v>1</x:v>
      </x:c>
      <x:c r="H14" s="5" t="s">
        <x:v>319</x:v>
      </x:c>
      <x:c r="I14" s="5" t="s">
        <x:v>320</x:v>
      </x:c>
      <x:c r="J14" s="5" t="s">
        <x:v>68</x:v>
      </x:c>
      <x:c r="K14" s="5" t="s">
        <x:v>321</x:v>
      </x:c>
      <x:c r="L14" s="5" t="s">
        <x:v>69</x:v>
      </x:c>
      <x:c r="M14" s="5" t="s">
        <x:v>322</x:v>
      </x:c>
      <x:c r="N14" s="5" t="s">
        <x:v>323</x:v>
      </x:c>
      <x:c r="O14" s="5" t="s">
        <x:v>71</x:v>
      </x:c>
      <x:c r="P14" s="5">
        <x:v>30</x:v>
      </x:c>
      <x:c r="Q14" s="6">
        <x:v>5</x:v>
      </x:c>
      <x:c r="R14" s="6">
        <x:v>5</x:v>
      </x:c>
      <x:c r="S14" s="6">
        <x:v>5</x:v>
      </x:c>
      <x:c r="T14" s="6">
        <x:v>4</x:v>
      </x:c>
      <x:c r="U14" s="6">
        <x:v>5</x:v>
      </x:c>
      <x:c r="V14" s="9">
        <x:f t="shared" si="0"/>
        <x:v>4.8499999999999996</x:v>
      </x:c>
      <x:c r="W14" s="5" t="s">
        <x:v>324</x:v>
      </x:c>
    </x:row>
    <x:row r="15" ht="25.5">
      <x:c r="A15" s="5" t="s">
        <x:v>64</x:v>
      </x:c>
      <x:c r="B15" s="5" t="s">
        <x:v>37</x:v>
      </x:c>
      <x:c r="C15" s="5" t="s">
        <x:v>38</x:v>
      </x:c>
      <x:c r="D15" s="5" t="s">
        <x:v>65</x:v>
      </x:c>
      <x:c r="E15" s="5" t="s">
        <x:v>318</x:v>
      </x:c>
      <x:c r="F15" s="5" t="s">
        <x:v>325</x:v>
      </x:c>
      <x:c r="G15" s="5">
        <x:v>2</x:v>
      </x:c>
      <x:c r="H15" s="5" t="s">
        <x:v>248</x:v>
      </x:c>
      <x:c r="I15" s="5" t="s">
        <x:v>256</x:v>
      </x:c>
      <x:c r="J15" s="5" t="s">
        <x:v>326</x:v>
      </x:c>
      <x:c r="K15" s="5" t="s">
        <x:v>327</x:v>
      </x:c>
      <x:c r="L15" s="5" t="s">
        <x:v>328</x:v>
      </x:c>
      <x:c r="M15" s="5" t="s">
        <x:v>329</x:v>
      </x:c>
      <x:c r="N15" s="5" t="s">
        <x:v>330</x:v>
      </x:c>
      <x:c r="O15" s="5" t="s">
        <x:v>331</x:v>
      </x:c>
      <x:c r="P15" s="5">
        <x:v>30</x:v>
      </x:c>
      <x:c r="Q15" s="6">
        <x:v>4</x:v>
      </x:c>
      <x:c r="R15" s="6">
        <x:v>4</x:v>
      </x:c>
      <x:c r="S15" s="6">
        <x:v>5</x:v>
      </x:c>
      <x:c r="T15" s="6">
        <x:v>3</x:v>
      </x:c>
      <x:c r="U15" s="6">
        <x:v>4</x:v>
      </x:c>
      <x:c r="V15" s="9">
        <x:f t="shared" si="0"/>
        <x:v>4.05</x:v>
      </x:c>
      <x:c r="W15" s="5" t="s">
        <x:v>332</x:v>
      </x:c>
    </x:row>
    <x:row r="16" ht="25.5">
      <x:c r="A16" s="5" t="s">
        <x:v>64</x:v>
      </x:c>
      <x:c r="B16" s="5" t="s">
        <x:v>37</x:v>
      </x:c>
      <x:c r="C16" s="5" t="s">
        <x:v>38</x:v>
      </x:c>
      <x:c r="D16" s="5" t="s">
        <x:v>65</x:v>
      </x:c>
      <x:c r="E16" s="5" t="s">
        <x:v>318</x:v>
      </x:c>
      <x:c r="F16" s="5" t="s">
        <x:v>333</x:v>
      </x:c>
      <x:c r="G16" s="5">
        <x:v>3</x:v>
      </x:c>
      <x:c r="H16" s="5" t="s">
        <x:v>248</x:v>
      </x:c>
      <x:c r="I16" s="5" t="s">
        <x:v>334</x:v>
      </x:c>
      <x:c r="J16" s="5" t="s">
        <x:v>335</x:v>
      </x:c>
      <x:c r="K16" s="5" t="s">
        <x:v>336</x:v>
      </x:c>
      <x:c r="L16" s="5" t="s">
        <x:v>337</x:v>
      </x:c>
      <x:c r="M16" s="5" t="s">
        <x:v>338</x:v>
      </x:c>
      <x:c r="N16" s="5" t="s">
        <x:v>339</x:v>
      </x:c>
      <x:c r="O16" s="5" t="s">
        <x:v>340</x:v>
      </x:c>
      <x:c r="P16" s="5">
        <x:v>30</x:v>
      </x:c>
      <x:c r="Q16" s="6">
        <x:v>4</x:v>
      </x:c>
      <x:c r="R16" s="6">
        <x:v>5</x:v>
      </x:c>
      <x:c r="S16" s="6">
        <x:v>4</x:v>
      </x:c>
      <x:c r="T16" s="6">
        <x:v>3</x:v>
      </x:c>
      <x:c r="U16" s="6">
        <x:v>4</x:v>
      </x:c>
      <x:c r="V16" s="9">
        <x:f t="shared" si="0"/>
        <x:v>4.05</x:v>
      </x:c>
      <x:c r="W16" s="5" t="s">
        <x:v>341</x:v>
      </x:c>
    </x:row>
    <x:row r="17" ht="25.5">
      <x:c r="A17" s="5" t="s">
        <x:v>73</x:v>
      </x:c>
      <x:c r="B17" s="5" t="s">
        <x:v>37</x:v>
      </x:c>
      <x:c r="C17" s="5" t="s">
        <x:v>74</x:v>
      </x:c>
      <x:c r="D17" s="5" t="s">
        <x:v>75</x:v>
      </x:c>
      <x:c r="E17" s="5" t="s">
        <x:v>342</x:v>
      </x:c>
      <x:c r="F17" s="5" t="s">
        <x:v>76</x:v>
      </x:c>
      <x:c r="G17" s="5">
        <x:v>1</x:v>
      </x:c>
      <x:c r="H17" s="5" t="s">
        <x:v>248</x:v>
      </x:c>
      <x:c r="I17" s="5" t="s">
        <x:v>343</x:v>
      </x:c>
      <x:c r="J17" s="5" t="s">
        <x:v>77</x:v>
      </x:c>
      <x:c r="K17" s="5" t="s">
        <x:v>344</x:v>
      </x:c>
      <x:c r="L17" s="5" t="s">
        <x:v>78</x:v>
      </x:c>
      <x:c r="M17" s="5" t="s">
        <x:v>345</x:v>
      </x:c>
      <x:c r="N17" s="5" t="s">
        <x:v>346</x:v>
      </x:c>
      <x:c r="O17" s="5" t="s">
        <x:v>80</x:v>
      </x:c>
      <x:c r="P17" s="5">
        <x:v>30</x:v>
      </x:c>
      <x:c r="Q17" s="6">
        <x:v>4</x:v>
      </x:c>
      <x:c r="R17" s="6">
        <x:v>5</x:v>
      </x:c>
      <x:c r="S17" s="6">
        <x:v>5</x:v>
      </x:c>
      <x:c r="T17" s="6">
        <x:v>4</x:v>
      </x:c>
      <x:c r="U17" s="6">
        <x:v>5</x:v>
      </x:c>
      <x:c r="V17" s="9">
        <x:f t="shared" si="0"/>
        <x:v>4.55</x:v>
      </x:c>
      <x:c r="W17" s="5" t="s">
        <x:v>347</x:v>
      </x:c>
    </x:row>
    <x:row r="18" ht="25.5">
      <x:c r="A18" s="5" t="s">
        <x:v>73</x:v>
      </x:c>
      <x:c r="B18" s="5" t="s">
        <x:v>37</x:v>
      </x:c>
      <x:c r="C18" s="5" t="s">
        <x:v>74</x:v>
      </x:c>
      <x:c r="D18" s="5" t="s">
        <x:v>75</x:v>
      </x:c>
      <x:c r="E18" s="5" t="s">
        <x:v>342</x:v>
      </x:c>
      <x:c r="F18" s="5" t="s">
        <x:v>348</x:v>
      </x:c>
      <x:c r="G18" s="5">
        <x:v>2</x:v>
      </x:c>
      <x:c r="H18" s="5" t="s">
        <x:v>319</x:v>
      </x:c>
      <x:c r="I18" s="5" t="s">
        <x:v>256</x:v>
      </x:c>
      <x:c r="J18" s="5" t="s">
        <x:v>42</x:v>
      </x:c>
      <x:c r="K18" s="5" t="s">
        <x:v>349</x:v>
      </x:c>
      <x:c r="L18" s="5" t="s">
        <x:v>350</x:v>
      </x:c>
      <x:c r="M18" s="5" t="s">
        <x:v>351</x:v>
      </x:c>
      <x:c r="N18" s="5" t="s">
        <x:v>352</x:v>
      </x:c>
      <x:c r="O18" s="5" t="s">
        <x:v>353</x:v>
      </x:c>
      <x:c r="P18" s="5">
        <x:v>30</x:v>
      </x:c>
      <x:c r="Q18" s="6">
        <x:v>4</x:v>
      </x:c>
      <x:c r="R18" s="6">
        <x:v>5</x:v>
      </x:c>
      <x:c r="S18" s="6">
        <x:v>5</x:v>
      </x:c>
      <x:c r="T18" s="6">
        <x:v>4</x:v>
      </x:c>
      <x:c r="U18" s="6">
        <x:v>4</x:v>
      </x:c>
      <x:c r="V18" s="9">
        <x:f t="shared" si="0"/>
        <x:v>4.4000000000000004</x:v>
      </x:c>
      <x:c r="W18" s="5" t="s">
        <x:v>354</x:v>
      </x:c>
    </x:row>
    <x:row r="19" ht="25.5">
      <x:c r="A19" s="5" t="s">
        <x:v>73</x:v>
      </x:c>
      <x:c r="B19" s="5" t="s">
        <x:v>37</x:v>
      </x:c>
      <x:c r="C19" s="5" t="s">
        <x:v>74</x:v>
      </x:c>
      <x:c r="D19" s="5" t="s">
        <x:v>75</x:v>
      </x:c>
      <x:c r="E19" s="5" t="s">
        <x:v>342</x:v>
      </x:c>
      <x:c r="F19" s="5" t="s">
        <x:v>355</x:v>
      </x:c>
      <x:c r="G19" s="5">
        <x:v>3</x:v>
      </x:c>
      <x:c r="H19" s="5" t="s">
        <x:v>248</x:v>
      </x:c>
      <x:c r="I19" s="5" t="s">
        <x:v>356</x:v>
      </x:c>
      <x:c r="J19" s="5" t="s">
        <x:v>357</x:v>
      </x:c>
      <x:c r="K19" s="5" t="s">
        <x:v>358</x:v>
      </x:c>
      <x:c r="L19" s="5" t="s">
        <x:v>359</x:v>
      </x:c>
      <x:c r="M19" s="5" t="s">
        <x:v>360</x:v>
      </x:c>
      <x:c r="N19" s="5" t="s">
        <x:v>361</x:v>
      </x:c>
      <x:c r="O19" s="5" t="s">
        <x:v>362</x:v>
      </x:c>
      <x:c r="P19" s="5">
        <x:v>30</x:v>
      </x:c>
      <x:c r="Q19" s="6">
        <x:v>3</x:v>
      </x:c>
      <x:c r="R19" s="6">
        <x:v>4</x:v>
      </x:c>
      <x:c r="S19" s="6">
        <x:v>5</x:v>
      </x:c>
      <x:c r="T19" s="6">
        <x:v>3</x:v>
      </x:c>
      <x:c r="U19" s="6">
        <x:v>4</x:v>
      </x:c>
      <x:c r="V19" s="9">
        <x:f t="shared" si="0"/>
        <x:v>3.75</x:v>
      </x:c>
      <x:c r="W19" s="5" t="s">
        <x:v>363</x:v>
      </x:c>
    </x:row>
    <x:row r="20" ht="25.5">
      <x:c r="A20" s="5" t="s">
        <x:v>82</x:v>
      </x:c>
      <x:c r="B20" s="5" t="s">
        <x:v>37</x:v>
      </x:c>
      <x:c r="C20" s="5" t="s">
        <x:v>74</x:v>
      </x:c>
      <x:c r="D20" s="5" t="s">
        <x:v>83</x:v>
      </x:c>
      <x:c r="E20" s="5" t="s">
        <x:v>364</x:v>
      </x:c>
      <x:c r="F20" s="5" t="s">
        <x:v>84</x:v>
      </x:c>
      <x:c r="G20" s="5">
        <x:v>1</x:v>
      </x:c>
      <x:c r="H20" s="5" t="s">
        <x:v>248</x:v>
      </x:c>
      <x:c r="I20" s="5" t="s">
        <x:v>365</x:v>
      </x:c>
      <x:c r="J20" s="5" t="s">
        <x:v>85</x:v>
      </x:c>
      <x:c r="K20" s="5" t="s">
        <x:v>366</x:v>
      </x:c>
      <x:c r="L20" s="5" t="s">
        <x:v>86</x:v>
      </x:c>
      <x:c r="M20" s="5" t="s">
        <x:v>367</x:v>
      </x:c>
      <x:c r="N20" s="5" t="s">
        <x:v>368</x:v>
      </x:c>
      <x:c r="O20" s="5" t="s">
        <x:v>88</x:v>
      </x:c>
      <x:c r="P20" s="5">
        <x:v>35</x:v>
      </x:c>
      <x:c r="Q20" s="6">
        <x:v>5</x:v>
      </x:c>
      <x:c r="R20" s="6">
        <x:v>5</x:v>
      </x:c>
      <x:c r="S20" s="6">
        <x:v>5</x:v>
      </x:c>
      <x:c r="T20" s="6">
        <x:v>4</x:v>
      </x:c>
      <x:c r="U20" s="6">
        <x:v>5</x:v>
      </x:c>
      <x:c r="V20" s="9">
        <x:f t="shared" si="0"/>
        <x:v>4.8499999999999996</x:v>
      </x:c>
      <x:c r="W20" s="5" t="s">
        <x:v>369</x:v>
      </x:c>
    </x:row>
    <x:row r="21" ht="25.5">
      <x:c r="A21" s="5" t="s">
        <x:v>82</x:v>
      </x:c>
      <x:c r="B21" s="5" t="s">
        <x:v>37</x:v>
      </x:c>
      <x:c r="C21" s="5" t="s">
        <x:v>74</x:v>
      </x:c>
      <x:c r="D21" s="5" t="s">
        <x:v>83</x:v>
      </x:c>
      <x:c r="E21" s="5" t="s">
        <x:v>364</x:v>
      </x:c>
      <x:c r="F21" s="5" t="s">
        <x:v>370</x:v>
      </x:c>
      <x:c r="G21" s="5">
        <x:v>2</x:v>
      </x:c>
      <x:c r="H21" s="5" t="s">
        <x:v>279</x:v>
      </x:c>
      <x:c r="I21" s="5" t="s">
        <x:v>371</x:v>
      </x:c>
      <x:c r="J21" s="5" t="s">
        <x:v>281</x:v>
      </x:c>
      <x:c r="K21" s="5" t="s">
        <x:v>372</x:v>
      </x:c>
      <x:c r="L21" s="5" t="s">
        <x:v>373</x:v>
      </x:c>
      <x:c r="M21" s="5" t="s">
        <x:v>374</x:v>
      </x:c>
      <x:c r="N21" s="5" t="s">
        <x:v>375</x:v>
      </x:c>
      <x:c r="O21" s="5" t="s">
        <x:v>376</x:v>
      </x:c>
      <x:c r="P21" s="5">
        <x:v>35</x:v>
      </x:c>
      <x:c r="Q21" s="6">
        <x:v>4</x:v>
      </x:c>
      <x:c r="R21" s="6">
        <x:v>5</x:v>
      </x:c>
      <x:c r="S21" s="6">
        <x:v>5</x:v>
      </x:c>
      <x:c r="T21" s="6">
        <x:v>4</x:v>
      </x:c>
      <x:c r="U21" s="6">
        <x:v>5</x:v>
      </x:c>
      <x:c r="V21" s="9">
        <x:f t="shared" si="0"/>
        <x:v>4.55</x:v>
      </x:c>
      <x:c r="W21" s="5" t="s">
        <x:v>377</x:v>
      </x:c>
    </x:row>
    <x:row r="22" ht="25.5">
      <x:c r="A22" s="5" t="s">
        <x:v>82</x:v>
      </x:c>
      <x:c r="B22" s="5" t="s">
        <x:v>37</x:v>
      </x:c>
      <x:c r="C22" s="5" t="s">
        <x:v>74</x:v>
      </x:c>
      <x:c r="D22" s="5" t="s">
        <x:v>83</x:v>
      </x:c>
      <x:c r="E22" s="5" t="s">
        <x:v>364</x:v>
      </x:c>
      <x:c r="F22" s="5" t="s">
        <x:v>378</x:v>
      </x:c>
      <x:c r="G22" s="5">
        <x:v>3</x:v>
      </x:c>
      <x:c r="H22" s="5" t="s">
        <x:v>248</x:v>
      </x:c>
      <x:c r="I22" s="5" t="s">
        <x:v>379</x:v>
      </x:c>
      <x:c r="J22" s="5" t="s">
        <x:v>42</x:v>
      </x:c>
      <x:c r="K22" s="5" t="s">
        <x:v>380</x:v>
      </x:c>
      <x:c r="L22" s="5" t="s">
        <x:v>381</x:v>
      </x:c>
      <x:c r="M22" s="5" t="s">
        <x:v>382</x:v>
      </x:c>
      <x:c r="N22" s="5" t="s">
        <x:v>383</x:v>
      </x:c>
      <x:c r="O22" s="5" t="s">
        <x:v>384</x:v>
      </x:c>
      <x:c r="P22" s="5">
        <x:v>35</x:v>
      </x:c>
      <x:c r="Q22" s="6">
        <x:v>4</x:v>
      </x:c>
      <x:c r="R22" s="6">
        <x:v>5</x:v>
      </x:c>
      <x:c r="S22" s="6">
        <x:v>5</x:v>
      </x:c>
      <x:c r="T22" s="6">
        <x:v>4</x:v>
      </x:c>
      <x:c r="U22" s="6">
        <x:v>3</x:v>
      </x:c>
      <x:c r="V22" s="9">
        <x:f t="shared" si="0"/>
        <x:v>4.25</x:v>
      </x:c>
      <x:c r="W22" s="5" t="s">
        <x:v>385</x:v>
      </x:c>
    </x:row>
    <x:row r="23" ht="25.5">
      <x:c r="A23" s="5" t="s">
        <x:v>89</x:v>
      </x:c>
      <x:c r="B23" s="5" t="s">
        <x:v>37</x:v>
      </x:c>
      <x:c r="C23" s="5" t="s">
        <x:v>74</x:v>
      </x:c>
      <x:c r="D23" s="5" t="s">
        <x:v>90</x:v>
      </x:c>
      <x:c r="E23" s="5" t="s">
        <x:v>386</x:v>
      </x:c>
      <x:c r="F23" s="5" t="s">
        <x:v>91</x:v>
      </x:c>
      <x:c r="G23" s="5">
        <x:v>1</x:v>
      </x:c>
      <x:c r="H23" s="5" t="s">
        <x:v>319</x:v>
      </x:c>
      <x:c r="I23" s="5" t="s">
        <x:v>387</x:v>
      </x:c>
      <x:c r="J23" s="5" t="s">
        <x:v>92</x:v>
      </x:c>
      <x:c r="K23" s="5" t="s">
        <x:v>388</x:v>
      </x:c>
      <x:c r="L23" s="5" t="s">
        <x:v>93</x:v>
      </x:c>
      <x:c r="M23" s="5" t="s">
        <x:v>389</x:v>
      </x:c>
      <x:c r="N23" s="5" t="s">
        <x:v>390</x:v>
      </x:c>
      <x:c r="O23" s="5" t="s">
        <x:v>95</x:v>
      </x:c>
      <x:c r="P23" s="5">
        <x:v>40</x:v>
      </x:c>
      <x:c r="Q23" s="6">
        <x:v>5</x:v>
      </x:c>
      <x:c r="R23" s="6">
        <x:v>5</x:v>
      </x:c>
      <x:c r="S23" s="6">
        <x:v>5</x:v>
      </x:c>
      <x:c r="T23" s="6">
        <x:v>4</x:v>
      </x:c>
      <x:c r="U23" s="6">
        <x:v>5</x:v>
      </x:c>
      <x:c r="V23" s="9">
        <x:f t="shared" si="0"/>
        <x:v>4.8499999999999996</x:v>
      </x:c>
      <x:c r="W23" s="5" t="s">
        <x:v>391</x:v>
      </x:c>
    </x:row>
    <x:row r="24" ht="25.5">
      <x:c r="A24" s="5" t="s">
        <x:v>89</x:v>
      </x:c>
      <x:c r="B24" s="5" t="s">
        <x:v>37</x:v>
      </x:c>
      <x:c r="C24" s="5" t="s">
        <x:v>74</x:v>
      </x:c>
      <x:c r="D24" s="5" t="s">
        <x:v>90</x:v>
      </x:c>
      <x:c r="E24" s="5" t="s">
        <x:v>386</x:v>
      </x:c>
      <x:c r="F24" s="5" t="s">
        <x:v>392</x:v>
      </x:c>
      <x:c r="G24" s="5">
        <x:v>2</x:v>
      </x:c>
      <x:c r="H24" s="5" t="s">
        <x:v>248</x:v>
      </x:c>
      <x:c r="I24" s="5" t="s">
        <x:v>256</x:v>
      </x:c>
      <x:c r="J24" s="5" t="s">
        <x:v>290</x:v>
      </x:c>
      <x:c r="K24" s="5" t="s">
        <x:v>393</x:v>
      </x:c>
      <x:c r="L24" s="5" t="s">
        <x:v>394</x:v>
      </x:c>
      <x:c r="M24" s="5" t="s">
        <x:v>395</x:v>
      </x:c>
      <x:c r="N24" s="5" t="s">
        <x:v>396</x:v>
      </x:c>
      <x:c r="O24" s="5" t="s">
        <x:v>397</x:v>
      </x:c>
      <x:c r="P24" s="5">
        <x:v>40</x:v>
      </x:c>
      <x:c r="Q24" s="6">
        <x:v>4</x:v>
      </x:c>
      <x:c r="R24" s="6">
        <x:v>5</x:v>
      </x:c>
      <x:c r="S24" s="6">
        <x:v>5</x:v>
      </x:c>
      <x:c r="T24" s="6">
        <x:v>4</x:v>
      </x:c>
      <x:c r="U24" s="6">
        <x:v>4</x:v>
      </x:c>
      <x:c r="V24" s="9">
        <x:f t="shared" si="0"/>
        <x:v>4.4000000000000004</x:v>
      </x:c>
      <x:c r="W24" s="5" t="s">
        <x:v>398</x:v>
      </x:c>
    </x:row>
    <x:row r="25" ht="25.5">
      <x:c r="A25" s="5" t="s">
        <x:v>89</x:v>
      </x:c>
      <x:c r="B25" s="5" t="s">
        <x:v>37</x:v>
      </x:c>
      <x:c r="C25" s="5" t="s">
        <x:v>74</x:v>
      </x:c>
      <x:c r="D25" s="5" t="s">
        <x:v>90</x:v>
      </x:c>
      <x:c r="E25" s="5" t="s">
        <x:v>386</x:v>
      </x:c>
      <x:c r="F25" s="5" t="s">
        <x:v>399</x:v>
      </x:c>
      <x:c r="G25" s="5">
        <x:v>3</x:v>
      </x:c>
      <x:c r="H25" s="5" t="s">
        <x:v>248</x:v>
      </x:c>
      <x:c r="I25" s="5" t="s">
        <x:v>400</x:v>
      </x:c>
      <x:c r="J25" s="5" t="s">
        <x:v>401</x:v>
      </x:c>
      <x:c r="K25" s="5" t="s">
        <x:v>402</x:v>
      </x:c>
      <x:c r="L25" s="5" t="s">
        <x:v>403</x:v>
      </x:c>
      <x:c r="M25" s="5" t="s">
        <x:v>404</x:v>
      </x:c>
      <x:c r="N25" s="5" t="s">
        <x:v>405</x:v>
      </x:c>
      <x:c r="O25" s="5" t="s">
        <x:v>406</x:v>
      </x:c>
      <x:c r="P25" s="5">
        <x:v>40</x:v>
      </x:c>
      <x:c r="Q25" s="6">
        <x:v>4</x:v>
      </x:c>
      <x:c r="R25" s="6">
        <x:v>5</x:v>
      </x:c>
      <x:c r="S25" s="6">
        <x:v>4</x:v>
      </x:c>
      <x:c r="T25" s="6">
        <x:v>3</x:v>
      </x:c>
      <x:c r="U25" s="6">
        <x:v>5</x:v>
      </x:c>
      <x:c r="V25" s="9">
        <x:f t="shared" si="0"/>
        <x:v>4.2</x:v>
      </x:c>
      <x:c r="W25" s="5" t="s">
        <x:v>407</x:v>
      </x:c>
    </x:row>
    <x:row r="26" ht="25.5">
      <x:c r="A26" s="5" t="s">
        <x:v>96</x:v>
      </x:c>
      <x:c r="B26" s="5" t="s">
        <x:v>37</x:v>
      </x:c>
      <x:c r="C26" s="5" t="s">
        <x:v>74</x:v>
      </x:c>
      <x:c r="D26" s="5" t="s">
        <x:v>97</x:v>
      </x:c>
      <x:c r="E26" s="5" t="s">
        <x:v>408</x:v>
      </x:c>
      <x:c r="F26" s="5" t="s">
        <x:v>98</x:v>
      </x:c>
      <x:c r="G26" s="5">
        <x:v>1</x:v>
      </x:c>
      <x:c r="H26" s="5" t="s">
        <x:v>319</x:v>
      </x:c>
      <x:c r="I26" s="5" t="s">
        <x:v>409</x:v>
      </x:c>
      <x:c r="J26" s="5" t="s">
        <x:v>99</x:v>
      </x:c>
      <x:c r="K26" s="5" t="s">
        <x:v>410</x:v>
      </x:c>
      <x:c r="L26" s="5" t="s">
        <x:v>100</x:v>
      </x:c>
      <x:c r="M26" s="5" t="s">
        <x:v>411</x:v>
      </x:c>
      <x:c r="N26" s="5" t="s">
        <x:v>412</x:v>
      </x:c>
      <x:c r="O26" s="5" t="s">
        <x:v>102</x:v>
      </x:c>
      <x:c r="P26" s="5">
        <x:v>30</x:v>
      </x:c>
      <x:c r="Q26" s="6">
        <x:v>4</x:v>
      </x:c>
      <x:c r="R26" s="6">
        <x:v>5</x:v>
      </x:c>
      <x:c r="S26" s="6">
        <x:v>4</x:v>
      </x:c>
      <x:c r="T26" s="6">
        <x:v>3</x:v>
      </x:c>
      <x:c r="U26" s="6">
        <x:v>4</x:v>
      </x:c>
      <x:c r="V26" s="9">
        <x:f t="shared" si="0"/>
        <x:v>4.05</x:v>
      </x:c>
      <x:c r="W26" s="5" t="s">
        <x:v>413</x:v>
      </x:c>
    </x:row>
    <x:row r="27" ht="25.5">
      <x:c r="A27" s="5" t="s">
        <x:v>96</x:v>
      </x:c>
      <x:c r="B27" s="5" t="s">
        <x:v>37</x:v>
      </x:c>
      <x:c r="C27" s="5" t="s">
        <x:v>74</x:v>
      </x:c>
      <x:c r="D27" s="5" t="s">
        <x:v>97</x:v>
      </x:c>
      <x:c r="E27" s="5" t="s">
        <x:v>408</x:v>
      </x:c>
      <x:c r="F27" s="5" t="s">
        <x:v>414</x:v>
      </x:c>
      <x:c r="G27" s="5">
        <x:v>2</x:v>
      </x:c>
      <x:c r="H27" s="5" t="s">
        <x:v>248</x:v>
      </x:c>
      <x:c r="I27" s="5" t="s">
        <x:v>415</x:v>
      </x:c>
      <x:c r="J27" s="5" t="s">
        <x:v>213</x:v>
      </x:c>
      <x:c r="K27" s="5" t="s">
        <x:v>416</x:v>
      </x:c>
      <x:c r="L27" s="5" t="s">
        <x:v>417</x:v>
      </x:c>
      <x:c r="M27" s="5" t="s">
        <x:v>418</x:v>
      </x:c>
      <x:c r="N27" s="5" t="s">
        <x:v>419</x:v>
      </x:c>
      <x:c r="O27" s="5" t="s">
        <x:v>420</x:v>
      </x:c>
      <x:c r="P27" s="5">
        <x:v>30</x:v>
      </x:c>
      <x:c r="Q27" s="6">
        <x:v>3</x:v>
      </x:c>
      <x:c r="R27" s="6">
        <x:v>3</x:v>
      </x:c>
      <x:c r="S27" s="6">
        <x:v>5</x:v>
      </x:c>
      <x:c r="T27" s="6">
        <x:v>3</x:v>
      </x:c>
      <x:c r="U27" s="6">
        <x:v>4</x:v>
      </x:c>
      <x:c r="V27" s="9">
        <x:f t="shared" si="0"/>
        <x:v>3.55</x:v>
      </x:c>
      <x:c r="W27" s="5" t="s">
        <x:v>421</x:v>
      </x:c>
    </x:row>
    <x:row r="28" ht="25.5">
      <x:c r="A28" s="5" t="s">
        <x:v>96</x:v>
      </x:c>
      <x:c r="B28" s="5" t="s">
        <x:v>37</x:v>
      </x:c>
      <x:c r="C28" s="5" t="s">
        <x:v>74</x:v>
      </x:c>
      <x:c r="D28" s="5" t="s">
        <x:v>97</x:v>
      </x:c>
      <x:c r="E28" s="5" t="s">
        <x:v>408</x:v>
      </x:c>
      <x:c r="F28" s="5" t="s">
        <x:v>422</x:v>
      </x:c>
      <x:c r="G28" s="5">
        <x:v>3</x:v>
      </x:c>
      <x:c r="H28" s="5" t="s">
        <x:v>248</x:v>
      </x:c>
      <x:c r="I28" s="5" t="s">
        <x:v>423</x:v>
      </x:c>
      <x:c r="J28" s="5" t="s">
        <x:v>424</x:v>
      </x:c>
      <x:c r="K28" s="5" t="s">
        <x:v>425</x:v>
      </x:c>
      <x:c r="L28" s="5" t="s">
        <x:v>426</x:v>
      </x:c>
      <x:c r="M28" s="5" t="s">
        <x:v>427</x:v>
      </x:c>
      <x:c r="N28" s="5" t="s">
        <x:v>428</x:v>
      </x:c>
      <x:c r="O28" s="5" t="s">
        <x:v>429</x:v>
      </x:c>
      <x:c r="P28" s="5">
        <x:v>30</x:v>
      </x:c>
      <x:c r="Q28" s="6">
        <x:v>2</x:v>
      </x:c>
      <x:c r="R28" s="6">
        <x:v>4</x:v>
      </x:c>
      <x:c r="S28" s="6">
        <x:v>4</x:v>
      </x:c>
      <x:c r="T28" s="6">
        <x:v>2</x:v>
      </x:c>
      <x:c r="U28" s="6">
        <x:v>5</x:v>
      </x:c>
      <x:c r="V28" s="9">
        <x:f t="shared" si="0"/>
        <x:v>3.25</x:v>
      </x:c>
      <x:c r="W28" s="5" t="s">
        <x:v>430</x:v>
      </x:c>
    </x:row>
    <x:row r="29" ht="25.5">
      <x:c r="A29" s="5" t="s">
        <x:v>104</x:v>
      </x:c>
      <x:c r="B29" s="5" t="s">
        <x:v>37</x:v>
      </x:c>
      <x:c r="C29" s="5" t="s">
        <x:v>105</x:v>
      </x:c>
      <x:c r="D29" s="5" t="s">
        <x:v>106</x:v>
      </x:c>
      <x:c r="E29" s="5" t="s">
        <x:v>431</x:v>
      </x:c>
      <x:c r="F29" s="5" t="s">
        <x:v>107</x:v>
      </x:c>
      <x:c r="G29" s="5">
        <x:v>1</x:v>
      </x:c>
      <x:c r="H29" s="5" t="s">
        <x:v>248</x:v>
      </x:c>
      <x:c r="I29" s="5" t="s">
        <x:v>432</x:v>
      </x:c>
      <x:c r="J29" s="5" t="s">
        <x:v>108</x:v>
      </x:c>
      <x:c r="K29" s="5" t="s">
        <x:v>433</x:v>
      </x:c>
      <x:c r="L29" s="5" t="s">
        <x:v>109</x:v>
      </x:c>
      <x:c r="M29" s="5" t="s">
        <x:v>434</x:v>
      </x:c>
      <x:c r="N29" s="5" t="s">
        <x:v>435</x:v>
      </x:c>
      <x:c r="O29" s="5" t="s">
        <x:v>111</x:v>
      </x:c>
      <x:c r="P29" s="5">
        <x:v>25</x:v>
      </x:c>
      <x:c r="Q29" s="6">
        <x:v>5</x:v>
      </x:c>
      <x:c r="R29" s="6">
        <x:v>5</x:v>
      </x:c>
      <x:c r="S29" s="6">
        <x:v>5</x:v>
      </x:c>
      <x:c r="T29" s="6">
        <x:v>4</x:v>
      </x:c>
      <x:c r="U29" s="6">
        <x:v>5</x:v>
      </x:c>
      <x:c r="V29" s="9">
        <x:f t="shared" si="0"/>
        <x:v>4.8499999999999996</x:v>
      </x:c>
      <x:c r="W29" s="5" t="s">
        <x:v>436</x:v>
      </x:c>
    </x:row>
    <x:row r="30" ht="25.5">
      <x:c r="A30" s="5" t="s">
        <x:v>104</x:v>
      </x:c>
      <x:c r="B30" s="5" t="s">
        <x:v>37</x:v>
      </x:c>
      <x:c r="C30" s="5" t="s">
        <x:v>105</x:v>
      </x:c>
      <x:c r="D30" s="5" t="s">
        <x:v>106</x:v>
      </x:c>
      <x:c r="E30" s="5" t="s">
        <x:v>431</x:v>
      </x:c>
      <x:c r="F30" s="5" t="s">
        <x:v>437</x:v>
      </x:c>
      <x:c r="G30" s="5">
        <x:v>2</x:v>
      </x:c>
      <x:c r="H30" s="5" t="s">
        <x:v>248</x:v>
      </x:c>
      <x:c r="I30" s="5" t="s">
        <x:v>387</x:v>
      </x:c>
      <x:c r="J30" s="5" t="s">
        <x:v>438</x:v>
      </x:c>
      <x:c r="K30" s="5" t="s">
        <x:v>439</x:v>
      </x:c>
      <x:c r="L30" s="5" t="s">
        <x:v>440</x:v>
      </x:c>
      <x:c r="M30" s="5" t="s">
        <x:v>441</x:v>
      </x:c>
      <x:c r="N30" s="5" t="s">
        <x:v>442</x:v>
      </x:c>
      <x:c r="O30" s="5" t="s">
        <x:v>443</x:v>
      </x:c>
      <x:c r="P30" s="5">
        <x:v>25</x:v>
      </x:c>
      <x:c r="Q30" s="6">
        <x:v>4</x:v>
      </x:c>
      <x:c r="R30" s="6">
        <x:v>5</x:v>
      </x:c>
      <x:c r="S30" s="6">
        <x:v>5</x:v>
      </x:c>
      <x:c r="T30" s="6">
        <x:v>4</x:v>
      </x:c>
      <x:c r="U30" s="6">
        <x:v>5</x:v>
      </x:c>
      <x:c r="V30" s="9">
        <x:f t="shared" si="0"/>
        <x:v>4.55</x:v>
      </x:c>
      <x:c r="W30" s="5" t="s">
        <x:v>444</x:v>
      </x:c>
    </x:row>
    <x:row r="31" ht="25.5">
      <x:c r="A31" s="5" t="s">
        <x:v>104</x:v>
      </x:c>
      <x:c r="B31" s="5" t="s">
        <x:v>37</x:v>
      </x:c>
      <x:c r="C31" s="5" t="s">
        <x:v>105</x:v>
      </x:c>
      <x:c r="D31" s="5" t="s">
        <x:v>106</x:v>
      </x:c>
      <x:c r="E31" s="5" t="s">
        <x:v>431</x:v>
      </x:c>
      <x:c r="F31" s="5" t="s">
        <x:v>445</x:v>
      </x:c>
      <x:c r="G31" s="5">
        <x:v>3</x:v>
      </x:c>
      <x:c r="H31" s="5" t="s">
        <x:v>279</x:v>
      </x:c>
      <x:c r="I31" s="5" t="s">
        <x:v>446</x:v>
      </x:c>
      <x:c r="J31" s="5" t="s">
        <x:v>447</x:v>
      </x:c>
      <x:c r="K31" s="5" t="s">
        <x:v>448</x:v>
      </x:c>
      <x:c r="L31" s="5" t="s">
        <x:v>449</x:v>
      </x:c>
      <x:c r="M31" s="5" t="s">
        <x:v>450</x:v>
      </x:c>
      <x:c r="N31" s="5" t="s">
        <x:v>451</x:v>
      </x:c>
      <x:c r="O31" s="5" t="s">
        <x:v>452</x:v>
      </x:c>
      <x:c r="P31" s="5">
        <x:v>25</x:v>
      </x:c>
      <x:c r="Q31" s="6">
        <x:v>4</x:v>
      </x:c>
      <x:c r="R31" s="6">
        <x:v>4</x:v>
      </x:c>
      <x:c r="S31" s="6">
        <x:v>5</x:v>
      </x:c>
      <x:c r="T31" s="6">
        <x:v>4</x:v>
      </x:c>
      <x:c r="U31" s="6">
        <x:v>3</x:v>
      </x:c>
      <x:c r="V31" s="9">
        <x:f t="shared" si="0"/>
        <x:v>4.05</x:v>
      </x:c>
      <x:c r="W31" s="5" t="s">
        <x:v>453</x:v>
      </x:c>
    </x:row>
    <x:row r="32" ht="25.5">
      <x:c r="A32" s="5" t="s">
        <x:v>112</x:v>
      </x:c>
      <x:c r="B32" s="5" t="s">
        <x:v>37</x:v>
      </x:c>
      <x:c r="C32" s="5" t="s">
        <x:v>105</x:v>
      </x:c>
      <x:c r="D32" s="5" t="s">
        <x:v>113</x:v>
      </x:c>
      <x:c r="E32" s="5" t="s">
        <x:v>454</x:v>
      </x:c>
      <x:c r="F32" s="5" t="s">
        <x:v>114</x:v>
      </x:c>
      <x:c r="G32" s="5">
        <x:v>1</x:v>
      </x:c>
      <x:c r="H32" s="5" t="s">
        <x:v>319</x:v>
      </x:c>
      <x:c r="I32" s="5" t="s">
        <x:v>455</x:v>
      </x:c>
      <x:c r="J32" s="5" t="s">
        <x:v>115</x:v>
      </x:c>
      <x:c r="K32" s="5" t="s">
        <x:v>456</x:v>
      </x:c>
      <x:c r="L32" s="5" t="s">
        <x:v>116</x:v>
      </x:c>
      <x:c r="M32" s="5" t="s">
        <x:v>457</x:v>
      </x:c>
      <x:c r="N32" s="5" t="s">
        <x:v>458</x:v>
      </x:c>
      <x:c r="O32" s="5" t="s">
        <x:v>118</x:v>
      </x:c>
      <x:c r="P32" s="5">
        <x:v>25</x:v>
      </x:c>
      <x:c r="Q32" s="6">
        <x:v>5</x:v>
      </x:c>
      <x:c r="R32" s="6">
        <x:v>5</x:v>
      </x:c>
      <x:c r="S32" s="6">
        <x:v>5</x:v>
      </x:c>
      <x:c r="T32" s="6">
        <x:v>4</x:v>
      </x:c>
      <x:c r="U32" s="6">
        <x:v>5</x:v>
      </x:c>
      <x:c r="V32" s="9">
        <x:f t="shared" si="0"/>
        <x:v>4.8499999999999996</x:v>
      </x:c>
      <x:c r="W32" s="5" t="s">
        <x:v>459</x:v>
      </x:c>
    </x:row>
    <x:row r="33" ht="25.5">
      <x:c r="A33" s="5" t="s">
        <x:v>112</x:v>
      </x:c>
      <x:c r="B33" s="5" t="s">
        <x:v>37</x:v>
      </x:c>
      <x:c r="C33" s="5" t="s">
        <x:v>105</x:v>
      </x:c>
      <x:c r="D33" s="5" t="s">
        <x:v>113</x:v>
      </x:c>
      <x:c r="E33" s="5" t="s">
        <x:v>454</x:v>
      </x:c>
      <x:c r="F33" s="5" t="s">
        <x:v>460</x:v>
      </x:c>
      <x:c r="G33" s="5">
        <x:v>2</x:v>
      </x:c>
      <x:c r="H33" s="5" t="s">
        <x:v>248</x:v>
      </x:c>
      <x:c r="I33" s="5" t="s">
        <x:v>455</x:v>
      </x:c>
      <x:c r="J33" s="5" t="s">
        <x:v>335</x:v>
      </x:c>
      <x:c r="K33" s="5" t="s">
        <x:v>461</x:v>
      </x:c>
      <x:c r="L33" s="5" t="s">
        <x:v>462</x:v>
      </x:c>
      <x:c r="M33" s="5" t="s">
        <x:v>463</x:v>
      </x:c>
      <x:c r="N33" s="5" t="s">
        <x:v>464</x:v>
      </x:c>
      <x:c r="O33" s="5" t="s">
        <x:v>465</x:v>
      </x:c>
      <x:c r="P33" s="5">
        <x:v>25</x:v>
      </x:c>
      <x:c r="Q33" s="6">
        <x:v>4</x:v>
      </x:c>
      <x:c r="R33" s="6">
        <x:v>5</x:v>
      </x:c>
      <x:c r="S33" s="6">
        <x:v>5</x:v>
      </x:c>
      <x:c r="T33" s="6">
        <x:v>4</x:v>
      </x:c>
      <x:c r="U33" s="6">
        <x:v>4</x:v>
      </x:c>
      <x:c r="V33" s="9">
        <x:f t="shared" si="0"/>
        <x:v>4.4000000000000004</x:v>
      </x:c>
      <x:c r="W33" s="5" t="s">
        <x:v>466</x:v>
      </x:c>
    </x:row>
    <x:row r="34" ht="25.5">
      <x:c r="A34" s="5" t="s">
        <x:v>112</x:v>
      </x:c>
      <x:c r="B34" s="5" t="s">
        <x:v>37</x:v>
      </x:c>
      <x:c r="C34" s="5" t="s">
        <x:v>105</x:v>
      </x:c>
      <x:c r="D34" s="5" t="s">
        <x:v>113</x:v>
      </x:c>
      <x:c r="E34" s="5" t="s">
        <x:v>454</x:v>
      </x:c>
      <x:c r="F34" s="5" t="s">
        <x:v>467</x:v>
      </x:c>
      <x:c r="G34" s="5">
        <x:v>3</x:v>
      </x:c>
      <x:c r="H34" s="5" t="s">
        <x:v>248</x:v>
      </x:c>
      <x:c r="I34" s="5" t="s">
        <x:v>387</x:v>
      </x:c>
      <x:c r="J34" s="5" t="s">
        <x:v>85</x:v>
      </x:c>
      <x:c r="K34" s="5" t="s">
        <x:v>468</x:v>
      </x:c>
      <x:c r="L34" s="5" t="s">
        <x:v>469</x:v>
      </x:c>
      <x:c r="M34" s="5" t="s">
        <x:v>470</x:v>
      </x:c>
      <x:c r="N34" s="5" t="s">
        <x:v>471</x:v>
      </x:c>
      <x:c r="O34" s="5" t="s">
        <x:v>472</x:v>
      </x:c>
      <x:c r="P34" s="5">
        <x:v>25</x:v>
      </x:c>
      <x:c r="Q34" s="6">
        <x:v>3</x:v>
      </x:c>
      <x:c r="R34" s="6">
        <x:v>5</x:v>
      </x:c>
      <x:c r="S34" s="6">
        <x:v>4</x:v>
      </x:c>
      <x:c r="T34" s="6">
        <x:v>3</x:v>
      </x:c>
      <x:c r="U34" s="6">
        <x:v>5</x:v>
      </x:c>
      <x:c r="V34" s="9">
        <x:f t="shared" si="0"/>
        <x:v>3.9</x:v>
      </x:c>
      <x:c r="W34" s="5" t="s">
        <x:v>473</x:v>
      </x:c>
    </x:row>
    <x:row r="35" ht="25.5">
      <x:c r="A35" s="5" t="s">
        <x:v>119</x:v>
      </x:c>
      <x:c r="B35" s="5" t="s">
        <x:v>37</x:v>
      </x:c>
      <x:c r="C35" s="5" t="s">
        <x:v>105</x:v>
      </x:c>
      <x:c r="D35" s="5" t="s">
        <x:v>120</x:v>
      </x:c>
      <x:c r="E35" s="5" t="s">
        <x:v>474</x:v>
      </x:c>
      <x:c r="F35" s="5" t="s">
        <x:v>121</x:v>
      </x:c>
      <x:c r="G35" s="5">
        <x:v>1</x:v>
      </x:c>
      <x:c r="H35" s="5" t="s">
        <x:v>279</x:v>
      </x:c>
      <x:c r="I35" s="5" t="s">
        <x:v>475</x:v>
      </x:c>
      <x:c r="J35" s="5" t="s">
        <x:v>122</x:v>
      </x:c>
      <x:c r="K35" s="5" t="s">
        <x:v>476</x:v>
      </x:c>
      <x:c r="L35" s="5" t="s">
        <x:v>123</x:v>
      </x:c>
      <x:c r="M35" s="5" t="s">
        <x:v>477</x:v>
      </x:c>
      <x:c r="N35" s="5" t="s">
        <x:v>478</x:v>
      </x:c>
      <x:c r="O35" s="5" t="s">
        <x:v>125</x:v>
      </x:c>
      <x:c r="P35" s="5">
        <x:v>25</x:v>
      </x:c>
      <x:c r="Q35" s="6">
        <x:v>5</x:v>
      </x:c>
      <x:c r="R35" s="6">
        <x:v>5</x:v>
      </x:c>
      <x:c r="S35" s="6">
        <x:v>5</x:v>
      </x:c>
      <x:c r="T35" s="6">
        <x:v>4</x:v>
      </x:c>
      <x:c r="U35" s="6">
        <x:v>4</x:v>
      </x:c>
      <x:c r="V35" s="9">
        <x:f t="shared" si="0"/>
        <x:v>4.7</x:v>
      </x:c>
      <x:c r="W35" s="5" t="s">
        <x:v>479</x:v>
      </x:c>
    </x:row>
    <x:row r="36" ht="25.5">
      <x:c r="A36" s="5" t="s">
        <x:v>119</x:v>
      </x:c>
      <x:c r="B36" s="5" t="s">
        <x:v>37</x:v>
      </x:c>
      <x:c r="C36" s="5" t="s">
        <x:v>105</x:v>
      </x:c>
      <x:c r="D36" s="5" t="s">
        <x:v>120</x:v>
      </x:c>
      <x:c r="E36" s="5" t="s">
        <x:v>474</x:v>
      </x:c>
      <x:c r="F36" s="5" t="s">
        <x:v>480</x:v>
      </x:c>
      <x:c r="G36" s="5">
        <x:v>2</x:v>
      </x:c>
      <x:c r="H36" s="5" t="s">
        <x:v>248</x:v>
      </x:c>
      <x:c r="I36" s="5" t="s">
        <x:v>475</x:v>
      </x:c>
      <x:c r="J36" s="5" t="s">
        <x:v>481</x:v>
      </x:c>
      <x:c r="K36" s="5" t="s">
        <x:v>482</x:v>
      </x:c>
      <x:c r="L36" s="5" t="s">
        <x:v>483</x:v>
      </x:c>
      <x:c r="M36" s="5" t="s">
        <x:v>484</x:v>
      </x:c>
      <x:c r="N36" s="5" t="s">
        <x:v>485</x:v>
      </x:c>
      <x:c r="O36" s="5" t="s">
        <x:v>486</x:v>
      </x:c>
      <x:c r="P36" s="5">
        <x:v>25</x:v>
      </x:c>
      <x:c r="Q36" s="6">
        <x:v>4</x:v>
      </x:c>
      <x:c r="R36" s="6">
        <x:v>5</x:v>
      </x:c>
      <x:c r="S36" s="6">
        <x:v>5</x:v>
      </x:c>
      <x:c r="T36" s="6">
        <x:v>3</x:v>
      </x:c>
      <x:c r="U36" s="6">
        <x:v>5</x:v>
      </x:c>
      <x:c r="V36" s="9">
        <x:f t="shared" si="0"/>
        <x:v>4.4000000000000004</x:v>
      </x:c>
      <x:c r="W36" s="5" t="s">
        <x:v>487</x:v>
      </x:c>
    </x:row>
    <x:row r="37" ht="25.5">
      <x:c r="A37" s="5" t="s">
        <x:v>119</x:v>
      </x:c>
      <x:c r="B37" s="5" t="s">
        <x:v>37</x:v>
      </x:c>
      <x:c r="C37" s="5" t="s">
        <x:v>105</x:v>
      </x:c>
      <x:c r="D37" s="5" t="s">
        <x:v>120</x:v>
      </x:c>
      <x:c r="E37" s="5" t="s">
        <x:v>474</x:v>
      </x:c>
      <x:c r="F37" s="5" t="s">
        <x:v>488</x:v>
      </x:c>
      <x:c r="G37" s="5">
        <x:v>3</x:v>
      </x:c>
      <x:c r="H37" s="5" t="s">
        <x:v>248</x:v>
      </x:c>
      <x:c r="I37" s="5" t="s">
        <x:v>489</x:v>
      </x:c>
      <x:c r="J37" s="5" t="s">
        <x:v>265</x:v>
      </x:c>
      <x:c r="K37" s="5" t="s">
        <x:v>490</x:v>
      </x:c>
      <x:c r="L37" s="5" t="s">
        <x:v>491</x:v>
      </x:c>
      <x:c r="M37" s="5" t="s">
        <x:v>492</x:v>
      </x:c>
      <x:c r="N37" s="5" t="s">
        <x:v>493</x:v>
      </x:c>
      <x:c r="O37" s="5" t="s">
        <x:v>494</x:v>
      </x:c>
      <x:c r="P37" s="5">
        <x:v>25</x:v>
      </x:c>
      <x:c r="Q37" s="6">
        <x:v>4</x:v>
      </x:c>
      <x:c r="R37" s="6">
        <x:v>5</x:v>
      </x:c>
      <x:c r="S37" s="6">
        <x:v>5</x:v>
      </x:c>
      <x:c r="T37" s="6">
        <x:v>4</x:v>
      </x:c>
      <x:c r="U37" s="6">
        <x:v>4</x:v>
      </x:c>
      <x:c r="V37" s="9" t="n">
        <x:f t="shared" ref="V37:V68" si="1">ROUND(Q37*0.3+R37*0.2+S37*0.2+T37*0.15+U37*0.15,2)</x:f>
        <x:v>4.4</x:v>
      </x:c>
      <x:c r="W37" s="5" t="s">
        <x:v>495</x:v>
      </x:c>
    </x:row>
    <x:row r="38" ht="25.5">
      <x:c r="A38" s="5" t="s">
        <x:v>126</x:v>
      </x:c>
      <x:c r="B38" s="5" t="s">
        <x:v>37</x:v>
      </x:c>
      <x:c r="C38" s="5" t="s">
        <x:v>105</x:v>
      </x:c>
      <x:c r="D38" s="5" t="s">
        <x:v>127</x:v>
      </x:c>
      <x:c r="E38" s="5" t="s">
        <x:v>496</x:v>
      </x:c>
      <x:c r="F38" s="5" t="s">
        <x:v>128</x:v>
      </x:c>
      <x:c r="G38" s="5">
        <x:v>1</x:v>
      </x:c>
      <x:c r="H38" s="5" t="s">
        <x:v>319</x:v>
      </x:c>
      <x:c r="I38" s="5" t="s">
        <x:v>497</x:v>
      </x:c>
      <x:c r="J38" s="5" t="s">
        <x:v>129</x:v>
      </x:c>
      <x:c r="K38" s="5" t="s">
        <x:v>498</x:v>
      </x:c>
      <x:c r="L38" s="5" t="s">
        <x:v>130</x:v>
      </x:c>
      <x:c r="M38" s="5" t="s">
        <x:v>499</x:v>
      </x:c>
      <x:c r="N38" s="5" t="s">
        <x:v>500</x:v>
      </x:c>
      <x:c r="O38" s="5" t="s">
        <x:v>132</x:v>
      </x:c>
      <x:c r="P38" s="5">
        <x:v>30</x:v>
      </x:c>
      <x:c r="Q38" s="6">
        <x:v>5</x:v>
      </x:c>
      <x:c r="R38" s="6">
        <x:v>5</x:v>
      </x:c>
      <x:c r="S38" s="6">
        <x:v>5</x:v>
      </x:c>
      <x:c r="T38" s="6">
        <x:v>4</x:v>
      </x:c>
      <x:c r="U38" s="6">
        <x:v>5</x:v>
      </x:c>
      <x:c r="V38" s="9">
        <x:f t="shared" si="1"/>
        <x:v>4.8499999999999996</x:v>
      </x:c>
      <x:c r="W38" s="5" t="s">
        <x:v>501</x:v>
      </x:c>
    </x:row>
    <x:row r="39" ht="25.5">
      <x:c r="A39" s="5" t="s">
        <x:v>126</x:v>
      </x:c>
      <x:c r="B39" s="5" t="s">
        <x:v>37</x:v>
      </x:c>
      <x:c r="C39" s="5" t="s">
        <x:v>105</x:v>
      </x:c>
      <x:c r="D39" s="5" t="s">
        <x:v>127</x:v>
      </x:c>
      <x:c r="E39" s="5" t="s">
        <x:v>496</x:v>
      </x:c>
      <x:c r="F39" s="5" t="s">
        <x:v>502</x:v>
      </x:c>
      <x:c r="G39" s="5">
        <x:v>2</x:v>
      </x:c>
      <x:c r="H39" s="5" t="s">
        <x:v>248</x:v>
      </x:c>
      <x:c r="I39" s="5" t="s">
        <x:v>503</x:v>
      </x:c>
      <x:c r="J39" s="5" t="s">
        <x:v>42</x:v>
      </x:c>
      <x:c r="K39" s="5" t="s">
        <x:v>504</x:v>
      </x:c>
      <x:c r="L39" s="5" t="s">
        <x:v>505</x:v>
      </x:c>
      <x:c r="M39" s="5" t="s">
        <x:v>506</x:v>
      </x:c>
      <x:c r="N39" s="5" t="s">
        <x:v>507</x:v>
      </x:c>
      <x:c r="O39" s="5" t="s">
        <x:v>508</x:v>
      </x:c>
      <x:c r="P39" s="5">
        <x:v>30</x:v>
      </x:c>
      <x:c r="Q39" s="6">
        <x:v>4</x:v>
      </x:c>
      <x:c r="R39" s="6">
        <x:v>5</x:v>
      </x:c>
      <x:c r="S39" s="6">
        <x:v>5</x:v>
      </x:c>
      <x:c r="T39" s="6">
        <x:v>4</x:v>
      </x:c>
      <x:c r="U39" s="6">
        <x:v>4</x:v>
      </x:c>
      <x:c r="V39" s="9">
        <x:f t="shared" si="1"/>
        <x:v>4.4000000000000004</x:v>
      </x:c>
      <x:c r="W39" s="5" t="s">
        <x:v>509</x:v>
      </x:c>
    </x:row>
    <x:row r="40" ht="25.5">
      <x:c r="A40" s="5" t="s">
        <x:v>126</x:v>
      </x:c>
      <x:c r="B40" s="5" t="s">
        <x:v>37</x:v>
      </x:c>
      <x:c r="C40" s="5" t="s">
        <x:v>105</x:v>
      </x:c>
      <x:c r="D40" s="5" t="s">
        <x:v>127</x:v>
      </x:c>
      <x:c r="E40" s="5" t="s">
        <x:v>496</x:v>
      </x:c>
      <x:c r="F40" s="5" t="s">
        <x:v>510</x:v>
      </x:c>
      <x:c r="G40" s="5">
        <x:v>3</x:v>
      </x:c>
      <x:c r="H40" s="5" t="s">
        <x:v>248</x:v>
      </x:c>
      <x:c r="I40" s="5" t="s">
        <x:v>511</x:v>
      </x:c>
      <x:c r="J40" s="5" t="s">
        <x:v>281</x:v>
      </x:c>
      <x:c r="K40" s="5" t="s">
        <x:v>512</x:v>
      </x:c>
      <x:c r="L40" s="5" t="s">
        <x:v>513</x:v>
      </x:c>
      <x:c r="M40" s="5" t="s">
        <x:v>514</x:v>
      </x:c>
      <x:c r="N40" s="5" t="s">
        <x:v>515</x:v>
      </x:c>
      <x:c r="O40" s="5" t="s">
        <x:v>516</x:v>
      </x:c>
      <x:c r="P40" s="5">
        <x:v>30</x:v>
      </x:c>
      <x:c r="Q40" s="6">
        <x:v>4</x:v>
      </x:c>
      <x:c r="R40" s="6">
        <x:v>5</x:v>
      </x:c>
      <x:c r="S40" s="6">
        <x:v>5</x:v>
      </x:c>
      <x:c r="T40" s="6">
        <x:v>3</x:v>
      </x:c>
      <x:c r="U40" s="6">
        <x:v>5</x:v>
      </x:c>
      <x:c r="V40" s="9">
        <x:f t="shared" si="1"/>
        <x:v>4.4000000000000004</x:v>
      </x:c>
      <x:c r="W40" s="5" t="s">
        <x:v>517</x:v>
      </x:c>
    </x:row>
    <x:row r="41" ht="25.5">
      <x:c r="A41" s="5" t="s">
        <x:v>133</x:v>
      </x:c>
      <x:c r="B41" s="5" t="s">
        <x:v>134</x:v>
      </x:c>
      <x:c r="C41" s="5" t="s">
        <x:v>135</x:v>
      </x:c>
      <x:c r="D41" s="5" t="s">
        <x:v>136</x:v>
      </x:c>
      <x:c r="E41" s="5" t="s">
        <x:v>518</x:v>
      </x:c>
      <x:c r="F41" s="5" t="s">
        <x:v>137</x:v>
      </x:c>
      <x:c r="G41" s="5">
        <x:v>1</x:v>
      </x:c>
      <x:c r="H41" s="5" t="s">
        <x:v>319</x:v>
      </x:c>
      <x:c r="I41" s="5" t="s">
        <x:v>519</x:v>
      </x:c>
      <x:c r="J41" s="5" t="s">
        <x:v>92</x:v>
      </x:c>
      <x:c r="K41" s="5" t="s">
        <x:v>520</x:v>
      </x:c>
      <x:c r="L41" s="5" t="s">
        <x:v>138</x:v>
      </x:c>
      <x:c r="M41" s="5" t="s">
        <x:v>521</x:v>
      </x:c>
      <x:c r="N41" s="5" t="s">
        <x:v>522</x:v>
      </x:c>
      <x:c r="O41" s="5" t="s">
        <x:v>140</x:v>
      </x:c>
      <x:c r="P41" s="5">
        <x:v>45</x:v>
      </x:c>
      <x:c r="Q41" s="6">
        <x:v>5</x:v>
      </x:c>
      <x:c r="R41" s="6">
        <x:v>4</x:v>
      </x:c>
      <x:c r="S41" s="6">
        <x:v>5</x:v>
      </x:c>
      <x:c r="T41" s="6">
        <x:v>4</x:v>
      </x:c>
      <x:c r="U41" s="6">
        <x:v>5</x:v>
      </x:c>
      <x:c r="V41" s="9">
        <x:f t="shared" si="1"/>
        <x:v>4.6500000000000004</x:v>
      </x:c>
      <x:c r="W41" s="5" t="s">
        <x:v>523</x:v>
      </x:c>
    </x:row>
    <x:row r="42">
      <x:c r="A42" s="5" t="s">
        <x:v>133</x:v>
      </x:c>
      <x:c r="B42" s="5" t="s">
        <x:v>134</x:v>
      </x:c>
      <x:c r="C42" s="5" t="s">
        <x:v>135</x:v>
      </x:c>
      <x:c r="D42" s="5" t="s">
        <x:v>136</x:v>
      </x:c>
      <x:c r="E42" s="5" t="s">
        <x:v>518</x:v>
      </x:c>
      <x:c r="F42" s="5" t="s">
        <x:v>524</x:v>
      </x:c>
      <x:c r="G42" s="5">
        <x:v>2</x:v>
      </x:c>
      <x:c r="H42" s="5" t="s">
        <x:v>248</x:v>
      </x:c>
      <x:c r="I42" s="5" t="s">
        <x:v>519</x:v>
      </x:c>
      <x:c r="J42" s="5" t="s">
        <x:v>525</x:v>
      </x:c>
      <x:c r="K42" s="5" t="s">
        <x:v>526</x:v>
      </x:c>
      <x:c r="L42" s="5" t="s">
        <x:v>527</x:v>
      </x:c>
      <x:c r="M42" s="5" t="s">
        <x:v>528</x:v>
      </x:c>
      <x:c r="N42" s="5" t="s">
        <x:v>529</x:v>
      </x:c>
      <x:c r="O42" s="5" t="s">
        <x:v>530</x:v>
      </x:c>
      <x:c r="P42" s="5">
        <x:v>45</x:v>
      </x:c>
      <x:c r="Q42" s="6">
        <x:v>4</x:v>
      </x:c>
      <x:c r="R42" s="6">
        <x:v>5</x:v>
      </x:c>
      <x:c r="S42" s="6">
        <x:v>5</x:v>
      </x:c>
      <x:c r="T42" s="6">
        <x:v>4</x:v>
      </x:c>
      <x:c r="U42" s="6">
        <x:v>5</x:v>
      </x:c>
      <x:c r="V42" s="9">
        <x:f t="shared" si="1"/>
        <x:v>4.55</x:v>
      </x:c>
      <x:c r="W42" s="5" t="s">
        <x:v>531</x:v>
      </x:c>
    </x:row>
    <x:row r="43" ht="25.5">
      <x:c r="A43" s="5" t="s">
        <x:v>133</x:v>
      </x:c>
      <x:c r="B43" s="5" t="s">
        <x:v>134</x:v>
      </x:c>
      <x:c r="C43" s="5" t="s">
        <x:v>135</x:v>
      </x:c>
      <x:c r="D43" s="5" t="s">
        <x:v>136</x:v>
      </x:c>
      <x:c r="E43" s="5" t="s">
        <x:v>518</x:v>
      </x:c>
      <x:c r="F43" s="5" t="s">
        <x:v>532</x:v>
      </x:c>
      <x:c r="G43" s="5">
        <x:v>3</x:v>
      </x:c>
      <x:c r="H43" s="5" t="s">
        <x:v>248</x:v>
      </x:c>
      <x:c r="I43" s="5" t="s">
        <x:v>533</x:v>
      </x:c>
      <x:c r="J43" s="5" t="s">
        <x:v>265</x:v>
      </x:c>
      <x:c r="K43" s="5" t="s">
        <x:v>534</x:v>
      </x:c>
      <x:c r="L43" s="5" t="s">
        <x:v>535</x:v>
      </x:c>
      <x:c r="M43" s="5" t="s">
        <x:v>536</x:v>
      </x:c>
      <x:c r="N43" s="5" t="s">
        <x:v>537</x:v>
      </x:c>
      <x:c r="O43" s="5" t="s">
        <x:v>538</x:v>
      </x:c>
      <x:c r="P43" s="5">
        <x:v>45</x:v>
      </x:c>
      <x:c r="Q43" s="6">
        <x:v>3</x:v>
      </x:c>
      <x:c r="R43" s="6">
        <x:v>3</x:v>
      </x:c>
      <x:c r="S43" s="6">
        <x:v>5</x:v>
      </x:c>
      <x:c r="T43" s="6">
        <x:v>3</x:v>
      </x:c>
      <x:c r="U43" s="6">
        <x:v>4</x:v>
      </x:c>
      <x:c r="V43" s="9">
        <x:f t="shared" si="1"/>
        <x:v>3.55</x:v>
      </x:c>
      <x:c r="W43" s="5" t="s">
        <x:v>539</x:v>
      </x:c>
    </x:row>
    <x:row r="44" ht="25.5">
      <x:c r="A44" s="5" t="s">
        <x:v>141</x:v>
      </x:c>
      <x:c r="B44" s="5" t="s">
        <x:v>134</x:v>
      </x:c>
      <x:c r="C44" s="5" t="s">
        <x:v>135</x:v>
      </x:c>
      <x:c r="D44" s="5" t="s">
        <x:v>142</x:v>
      </x:c>
      <x:c r="E44" s="5" t="s">
        <x:v>540</x:v>
      </x:c>
      <x:c r="F44" s="5" t="s">
        <x:v>143</x:v>
      </x:c>
      <x:c r="G44" s="5">
        <x:v>1</x:v>
      </x:c>
      <x:c r="H44" s="5" t="s">
        <x:v>248</x:v>
      </x:c>
      <x:c r="I44" s="5" t="s">
        <x:v>541</x:v>
      </x:c>
      <x:c r="J44" s="5" t="s">
        <x:v>42</x:v>
      </x:c>
      <x:c r="K44" s="5" t="s">
        <x:v>542</x:v>
      </x:c>
      <x:c r="L44" s="5" t="s">
        <x:v>144</x:v>
      </x:c>
      <x:c r="M44" s="5" t="s">
        <x:v>543</x:v>
      </x:c>
      <x:c r="N44" s="5" t="s">
        <x:v>544</x:v>
      </x:c>
      <x:c r="O44" s="5" t="s">
        <x:v>146</x:v>
      </x:c>
      <x:c r="P44" s="5">
        <x:v>50</x:v>
      </x:c>
      <x:c r="Q44" s="6">
        <x:v>5</x:v>
      </x:c>
      <x:c r="R44" s="6">
        <x:v>5</x:v>
      </x:c>
      <x:c r="S44" s="6">
        <x:v>5</x:v>
      </x:c>
      <x:c r="T44" s="6">
        <x:v>4</x:v>
      </x:c>
      <x:c r="U44" s="6">
        <x:v>4</x:v>
      </x:c>
      <x:c r="V44" s="9">
        <x:f t="shared" si="1"/>
        <x:v>4.7</x:v>
      </x:c>
      <x:c r="W44" s="5" t="s">
        <x:v>545</x:v>
      </x:c>
    </x:row>
    <x:row r="45" ht="25.5">
      <x:c r="A45" s="5" t="s">
        <x:v>141</x:v>
      </x:c>
      <x:c r="B45" s="5" t="s">
        <x:v>134</x:v>
      </x:c>
      <x:c r="C45" s="5" t="s">
        <x:v>135</x:v>
      </x:c>
      <x:c r="D45" s="5" t="s">
        <x:v>142</x:v>
      </x:c>
      <x:c r="E45" s="5" t="s">
        <x:v>540</x:v>
      </x:c>
      <x:c r="F45" s="5" t="s">
        <x:v>546</x:v>
      </x:c>
      <x:c r="G45" s="5">
        <x:v>2</x:v>
      </x:c>
      <x:c r="H45" s="5" t="s">
        <x:v>248</x:v>
      </x:c>
      <x:c r="I45" s="5" t="s">
        <x:v>547</x:v>
      </x:c>
      <x:c r="J45" s="5" t="s">
        <x:v>150</x:v>
      </x:c>
      <x:c r="K45" s="5" t="s">
        <x:v>548</x:v>
      </x:c>
      <x:c r="L45" s="5" t="s">
        <x:v>549</x:v>
      </x:c>
      <x:c r="M45" s="5" t="s">
        <x:v>550</x:v>
      </x:c>
      <x:c r="N45" s="5" t="s">
        <x:v>551</x:v>
      </x:c>
      <x:c r="O45" s="5" t="s">
        <x:v>552</x:v>
      </x:c>
      <x:c r="P45" s="5">
        <x:v>50</x:v>
      </x:c>
      <x:c r="Q45" s="6">
        <x:v>4</x:v>
      </x:c>
      <x:c r="R45" s="6">
        <x:v>5</x:v>
      </x:c>
      <x:c r="S45" s="6">
        <x:v>5</x:v>
      </x:c>
      <x:c r="T45" s="6">
        <x:v>3</x:v>
      </x:c>
      <x:c r="U45" s="6">
        <x:v>5</x:v>
      </x:c>
      <x:c r="V45" s="9">
        <x:f t="shared" si="1"/>
        <x:v>4.4000000000000004</x:v>
      </x:c>
      <x:c r="W45" s="5" t="s">
        <x:v>553</x:v>
      </x:c>
    </x:row>
    <x:row r="46" ht="25.5">
      <x:c r="A46" s="5" t="s">
        <x:v>141</x:v>
      </x:c>
      <x:c r="B46" s="5" t="s">
        <x:v>134</x:v>
      </x:c>
      <x:c r="C46" s="5" t="s">
        <x:v>135</x:v>
      </x:c>
      <x:c r="D46" s="5" t="s">
        <x:v>142</x:v>
      </x:c>
      <x:c r="E46" s="5" t="s">
        <x:v>540</x:v>
      </x:c>
      <x:c r="F46" s="5" t="s">
        <x:v>554</x:v>
      </x:c>
      <x:c r="G46" s="5">
        <x:v>3</x:v>
      </x:c>
      <x:c r="H46" s="5" t="s">
        <x:v>279</x:v>
      </x:c>
      <x:c r="I46" s="5" t="s">
        <x:v>555</x:v>
      </x:c>
      <x:c r="J46" s="5" t="s">
        <x:v>150</x:v>
      </x:c>
      <x:c r="K46" s="5" t="s">
        <x:v>556</x:v>
      </x:c>
      <x:c r="L46" s="5" t="s">
        <x:v>557</x:v>
      </x:c>
      <x:c r="M46" s="5" t="s">
        <x:v>558</x:v>
      </x:c>
      <x:c r="N46" s="5" t="s">
        <x:v>559</x:v>
      </x:c>
      <x:c r="O46" s="5" t="s">
        <x:v>560</x:v>
      </x:c>
      <x:c r="P46" s="5">
        <x:v>50</x:v>
      </x:c>
      <x:c r="Q46" s="6">
        <x:v>4</x:v>
      </x:c>
      <x:c r="R46" s="6">
        <x:v>4</x:v>
      </x:c>
      <x:c r="S46" s="6">
        <x:v>5</x:v>
      </x:c>
      <x:c r="T46" s="6">
        <x:v>3</x:v>
      </x:c>
      <x:c r="U46" s="6">
        <x:v>4</x:v>
      </x:c>
      <x:c r="V46" s="9">
        <x:f t="shared" si="1"/>
        <x:v>4.05</x:v>
      </x:c>
      <x:c r="W46" s="5" t="s">
        <x:v>561</x:v>
      </x:c>
    </x:row>
    <x:row r="47" ht="25.5">
      <x:c r="A47" s="5" t="s">
        <x:v>147</x:v>
      </x:c>
      <x:c r="B47" s="5" t="s">
        <x:v>134</x:v>
      </x:c>
      <x:c r="C47" s="5" t="s">
        <x:v>135</x:v>
      </x:c>
      <x:c r="D47" s="5" t="s">
        <x:v>148</x:v>
      </x:c>
      <x:c r="E47" s="5" t="s">
        <x:v>562</x:v>
      </x:c>
      <x:c r="F47" s="5" t="s">
        <x:v>149</x:v>
      </x:c>
      <x:c r="G47" s="5">
        <x:v>1</x:v>
      </x:c>
      <x:c r="H47" s="5" t="s">
        <x:v>319</x:v>
      </x:c>
      <x:c r="I47" s="5" t="s">
        <x:v>563</x:v>
      </x:c>
      <x:c r="J47" s="5" t="s">
        <x:v>150</x:v>
      </x:c>
      <x:c r="K47" s="5" t="s">
        <x:v>564</x:v>
      </x:c>
      <x:c r="L47" s="5" t="s">
        <x:v>151</x:v>
      </x:c>
      <x:c r="M47" s="5" t="s">
        <x:v>565</x:v>
      </x:c>
      <x:c r="N47" s="5" t="s">
        <x:v>566</x:v>
      </x:c>
      <x:c r="O47" s="5" t="s">
        <x:v>153</x:v>
      </x:c>
      <x:c r="P47" s="5">
        <x:v>50</x:v>
      </x:c>
      <x:c r="Q47" s="6">
        <x:v>5</x:v>
      </x:c>
      <x:c r="R47" s="6">
        <x:v>5</x:v>
      </x:c>
      <x:c r="S47" s="6">
        <x:v>5</x:v>
      </x:c>
      <x:c r="T47" s="6">
        <x:v>4</x:v>
      </x:c>
      <x:c r="U47" s="6">
        <x:v>4</x:v>
      </x:c>
      <x:c r="V47" s="9">
        <x:f t="shared" si="1"/>
        <x:v>4.7</x:v>
      </x:c>
      <x:c r="W47" s="5" t="s">
        <x:v>567</x:v>
      </x:c>
    </x:row>
    <x:row r="48" ht="25.5">
      <x:c r="A48" s="5" t="s">
        <x:v>147</x:v>
      </x:c>
      <x:c r="B48" s="5" t="s">
        <x:v>134</x:v>
      </x:c>
      <x:c r="C48" s="5" t="s">
        <x:v>135</x:v>
      </x:c>
      <x:c r="D48" s="5" t="s">
        <x:v>148</x:v>
      </x:c>
      <x:c r="E48" s="5" t="s">
        <x:v>562</x:v>
      </x:c>
      <x:c r="F48" s="5" t="s">
        <x:v>568</x:v>
      </x:c>
      <x:c r="G48" s="5">
        <x:v>2</x:v>
      </x:c>
      <x:c r="H48" s="5" t="s">
        <x:v>248</x:v>
      </x:c>
      <x:c r="I48" s="5" t="s">
        <x:v>569</x:v>
      </x:c>
      <x:c r="J48" s="5" t="s">
        <x:v>570</x:v>
      </x:c>
      <x:c r="K48" s="5" t="s">
        <x:v>571</x:v>
      </x:c>
      <x:c r="L48" s="5" t="s">
        <x:v>572</x:v>
      </x:c>
      <x:c r="M48" s="5" t="s">
        <x:v>573</x:v>
      </x:c>
      <x:c r="N48" s="5" t="s">
        <x:v>574</x:v>
      </x:c>
      <x:c r="O48" s="5" t="s">
        <x:v>575</x:v>
      </x:c>
      <x:c r="P48" s="5">
        <x:v>50</x:v>
      </x:c>
      <x:c r="Q48" s="6">
        <x:v>4</x:v>
      </x:c>
      <x:c r="R48" s="6">
        <x:v>5</x:v>
      </x:c>
      <x:c r="S48" s="6">
        <x:v>4</x:v>
      </x:c>
      <x:c r="T48" s="6">
        <x:v>3</x:v>
      </x:c>
      <x:c r="U48" s="6">
        <x:v>3</x:v>
      </x:c>
      <x:c r="V48" s="9">
        <x:f t="shared" si="1"/>
        <x:v>3.9</x:v>
      </x:c>
      <x:c r="W48" s="5" t="s">
        <x:v>576</x:v>
      </x:c>
    </x:row>
    <x:row r="49" ht="25.5">
      <x:c r="A49" s="5" t="s">
        <x:v>147</x:v>
      </x:c>
      <x:c r="B49" s="5" t="s">
        <x:v>134</x:v>
      </x:c>
      <x:c r="C49" s="5" t="s">
        <x:v>135</x:v>
      </x:c>
      <x:c r="D49" s="5" t="s">
        <x:v>148</x:v>
      </x:c>
      <x:c r="E49" s="5" t="s">
        <x:v>562</x:v>
      </x:c>
      <x:c r="F49" s="5" t="s">
        <x:v>577</x:v>
      </x:c>
      <x:c r="G49" s="5">
        <x:v>3</x:v>
      </x:c>
      <x:c r="H49" s="5" t="s">
        <x:v>248</x:v>
      </x:c>
      <x:c r="I49" s="5" t="s">
        <x:v>578</x:v>
      </x:c>
      <x:c r="J49" s="5" t="s">
        <x:v>579</x:v>
      </x:c>
      <x:c r="K49" s="5" t="s">
        <x:v>580</x:v>
      </x:c>
      <x:c r="L49" s="5" t="s">
        <x:v>581</x:v>
      </x:c>
      <x:c r="M49" s="5" t="s">
        <x:v>582</x:v>
      </x:c>
      <x:c r="N49" s="5" t="s">
        <x:v>583</x:v>
      </x:c>
      <x:c r="O49" s="5" t="s">
        <x:v>584</x:v>
      </x:c>
      <x:c r="P49" s="5">
        <x:v>50</x:v>
      </x:c>
      <x:c r="Q49" s="6">
        <x:v>4</x:v>
      </x:c>
      <x:c r="R49" s="6">
        <x:v>5</x:v>
      </x:c>
      <x:c r="S49" s="6">
        <x:v>4</x:v>
      </x:c>
      <x:c r="T49" s="6">
        <x:v>3</x:v>
      </x:c>
      <x:c r="U49" s="6">
        <x:v>5</x:v>
      </x:c>
      <x:c r="V49" s="9">
        <x:f t="shared" si="1"/>
        <x:v>4.2</x:v>
      </x:c>
      <x:c r="W49" s="5" t="s">
        <x:v>585</x:v>
      </x:c>
    </x:row>
    <x:row r="50" ht="25.5">
      <x:c r="A50" s="5" t="s">
        <x:v>154</x:v>
      </x:c>
      <x:c r="B50" s="5" t="s">
        <x:v>134</x:v>
      </x:c>
      <x:c r="C50" s="5" t="s">
        <x:v>135</x:v>
      </x:c>
      <x:c r="D50" s="5" t="s">
        <x:v>155</x:v>
      </x:c>
      <x:c r="E50" s="5" t="s">
        <x:v>586</x:v>
      </x:c>
      <x:c r="F50" s="5" t="s">
        <x:v>156</x:v>
      </x:c>
      <x:c r="G50" s="5">
        <x:v>1</x:v>
      </x:c>
      <x:c r="H50" s="5" t="s">
        <x:v>319</x:v>
      </x:c>
      <x:c r="I50" s="5" t="s">
        <x:v>587</x:v>
      </x:c>
      <x:c r="J50" s="5" t="s">
        <x:v>150</x:v>
      </x:c>
      <x:c r="K50" s="5" t="s">
        <x:v>588</x:v>
      </x:c>
      <x:c r="L50" s="5" t="s">
        <x:v>157</x:v>
      </x:c>
      <x:c r="M50" s="5" t="s">
        <x:v>589</x:v>
      </x:c>
      <x:c r="N50" s="5" t="s">
        <x:v>590</x:v>
      </x:c>
      <x:c r="O50" s="5" t="s">
        <x:v>159</x:v>
      </x:c>
      <x:c r="P50" s="5">
        <x:v>45</x:v>
      </x:c>
      <x:c r="Q50" s="6">
        <x:v>5</x:v>
      </x:c>
      <x:c r="R50" s="6">
        <x:v>4</x:v>
      </x:c>
      <x:c r="S50" s="6">
        <x:v>5</x:v>
      </x:c>
      <x:c r="T50" s="6">
        <x:v>4</x:v>
      </x:c>
      <x:c r="U50" s="6">
        <x:v>4</x:v>
      </x:c>
      <x:c r="V50" s="9">
        <x:f t="shared" si="1"/>
        <x:v>4.5</x:v>
      </x:c>
      <x:c r="W50" s="5" t="s">
        <x:v>591</x:v>
      </x:c>
    </x:row>
    <x:row r="51" ht="25.5">
      <x:c r="A51" s="5" t="s">
        <x:v>154</x:v>
      </x:c>
      <x:c r="B51" s="5" t="s">
        <x:v>134</x:v>
      </x:c>
      <x:c r="C51" s="5" t="s">
        <x:v>135</x:v>
      </x:c>
      <x:c r="D51" s="5" t="s">
        <x:v>155</x:v>
      </x:c>
      <x:c r="E51" s="5" t="s">
        <x:v>586</x:v>
      </x:c>
      <x:c r="F51" s="5" t="s">
        <x:v>592</x:v>
      </x:c>
      <x:c r="G51" s="5">
        <x:v>2</x:v>
      </x:c>
      <x:c r="H51" s="5" t="s">
        <x:v>248</x:v>
      </x:c>
      <x:c r="I51" s="5" t="s">
        <x:v>593</x:v>
      </x:c>
      <x:c r="J51" s="5" t="s">
        <x:v>92</x:v>
      </x:c>
      <x:c r="K51" s="5" t="s">
        <x:v>594</x:v>
      </x:c>
      <x:c r="L51" s="5" t="s">
        <x:v>595</x:v>
      </x:c>
      <x:c r="M51" s="5" t="s">
        <x:v>596</x:v>
      </x:c>
      <x:c r="N51" s="5" t="s">
        <x:v>597</x:v>
      </x:c>
      <x:c r="O51" s="5" t="s">
        <x:v>598</x:v>
      </x:c>
      <x:c r="P51" s="5">
        <x:v>45</x:v>
      </x:c>
      <x:c r="Q51" s="6">
        <x:v>4</x:v>
      </x:c>
      <x:c r="R51" s="6">
        <x:v>5</x:v>
      </x:c>
      <x:c r="S51" s="6">
        <x:v>5</x:v>
      </x:c>
      <x:c r="T51" s="6">
        <x:v>4</x:v>
      </x:c>
      <x:c r="U51" s="6">
        <x:v>5</x:v>
      </x:c>
      <x:c r="V51" s="9">
        <x:f t="shared" si="1"/>
        <x:v>4.55</x:v>
      </x:c>
      <x:c r="W51" s="5" t="s">
        <x:v>599</x:v>
      </x:c>
    </x:row>
    <x:row r="52" ht="25.5">
      <x:c r="A52" s="5" t="s">
        <x:v>154</x:v>
      </x:c>
      <x:c r="B52" s="5" t="s">
        <x:v>134</x:v>
      </x:c>
      <x:c r="C52" s="5" t="s">
        <x:v>135</x:v>
      </x:c>
      <x:c r="D52" s="5" t="s">
        <x:v>155</x:v>
      </x:c>
      <x:c r="E52" s="5" t="s">
        <x:v>586</x:v>
      </x:c>
      <x:c r="F52" s="5" t="s">
        <x:v>600</x:v>
      </x:c>
      <x:c r="G52" s="5">
        <x:v>3</x:v>
      </x:c>
      <x:c r="H52" s="5" t="s">
        <x:v>248</x:v>
      </x:c>
      <x:c r="I52" s="5" t="s">
        <x:v>264</x:v>
      </x:c>
      <x:c r="J52" s="5" t="s">
        <x:v>85</x:v>
      </x:c>
      <x:c r="K52" s="5" t="s">
        <x:v>601</x:v>
      </x:c>
      <x:c r="L52" s="5" t="s">
        <x:v>602</x:v>
      </x:c>
      <x:c r="M52" s="5" t="s">
        <x:v>603</x:v>
      </x:c>
      <x:c r="N52" s="5" t="s">
        <x:v>604</x:v>
      </x:c>
      <x:c r="O52" s="5" t="s">
        <x:v>605</x:v>
      </x:c>
      <x:c r="P52" s="5">
        <x:v>45</x:v>
      </x:c>
      <x:c r="Q52" s="6">
        <x:v>4</x:v>
      </x:c>
      <x:c r="R52" s="6">
        <x:v>4</x:v>
      </x:c>
      <x:c r="S52" s="6">
        <x:v>5</x:v>
      </x:c>
      <x:c r="T52" s="6">
        <x:v>4</x:v>
      </x:c>
      <x:c r="U52" s="6">
        <x:v>4</x:v>
      </x:c>
      <x:c r="V52" s="9">
        <x:f t="shared" si="1"/>
        <x:v>4.2</x:v>
      </x:c>
      <x:c r="W52" s="5" t="s">
        <x:v>606</x:v>
      </x:c>
    </x:row>
    <x:row r="53" ht="25.5">
      <x:c r="A53" s="5" t="s">
        <x:v>160</x:v>
      </x:c>
      <x:c r="B53" s="5" t="s">
        <x:v>134</x:v>
      </x:c>
      <x:c r="C53" s="5" t="s">
        <x:v>135</x:v>
      </x:c>
      <x:c r="D53" s="5" t="s">
        <x:v>161</x:v>
      </x:c>
      <x:c r="E53" s="5" t="s">
        <x:v>607</x:v>
      </x:c>
      <x:c r="F53" s="5" t="s">
        <x:v>162</x:v>
      </x:c>
      <x:c r="G53" s="5">
        <x:v>1</x:v>
      </x:c>
      <x:c r="H53" s="5" t="s">
        <x:v>319</x:v>
      </x:c>
      <x:c r="I53" s="5" t="s">
        <x:v>608</x:v>
      </x:c>
      <x:c r="J53" s="5" t="s">
        <x:v>163</x:v>
      </x:c>
      <x:c r="K53" s="5" t="s">
        <x:v>609</x:v>
      </x:c>
      <x:c r="L53" s="5" t="s">
        <x:v>164</x:v>
      </x:c>
      <x:c r="M53" s="5" t="s">
        <x:v>610</x:v>
      </x:c>
      <x:c r="N53" s="5" t="s">
        <x:v>611</x:v>
      </x:c>
      <x:c r="O53" s="5" t="s">
        <x:v>166</x:v>
      </x:c>
      <x:c r="P53" s="5">
        <x:v>50</x:v>
      </x:c>
      <x:c r="Q53" s="6">
        <x:v>5</x:v>
      </x:c>
      <x:c r="R53" s="6">
        <x:v>5</x:v>
      </x:c>
      <x:c r="S53" s="6">
        <x:v>5</x:v>
      </x:c>
      <x:c r="T53" s="6">
        <x:v>4</x:v>
      </x:c>
      <x:c r="U53" s="6">
        <x:v>5</x:v>
      </x:c>
      <x:c r="V53" s="9">
        <x:f t="shared" si="1"/>
        <x:v>4.8499999999999996</x:v>
      </x:c>
      <x:c r="W53" s="5" t="s">
        <x:v>612</x:v>
      </x:c>
    </x:row>
    <x:row r="54" ht="25.5">
      <x:c r="A54" s="5" t="s">
        <x:v>160</x:v>
      </x:c>
      <x:c r="B54" s="5" t="s">
        <x:v>134</x:v>
      </x:c>
      <x:c r="C54" s="5" t="s">
        <x:v>135</x:v>
      </x:c>
      <x:c r="D54" s="5" t="s">
        <x:v>161</x:v>
      </x:c>
      <x:c r="E54" s="5" t="s">
        <x:v>607</x:v>
      </x:c>
      <x:c r="F54" s="5" t="s">
        <x:v>613</x:v>
      </x:c>
      <x:c r="G54" s="5">
        <x:v>2</x:v>
      </x:c>
      <x:c r="H54" s="5" t="s">
        <x:v>248</x:v>
      </x:c>
      <x:c r="I54" s="5" t="s">
        <x:v>614</x:v>
      </x:c>
      <x:c r="J54" s="5" t="s">
        <x:v>150</x:v>
      </x:c>
      <x:c r="K54" s="5" t="s">
        <x:v>615</x:v>
      </x:c>
      <x:c r="L54" s="5" t="s">
        <x:v>616</x:v>
      </x:c>
      <x:c r="M54" s="5" t="s">
        <x:v>617</x:v>
      </x:c>
      <x:c r="N54" s="5" t="s">
        <x:v>618</x:v>
      </x:c>
      <x:c r="O54" s="5" t="s">
        <x:v>619</x:v>
      </x:c>
      <x:c r="P54" s="5">
        <x:v>50</x:v>
      </x:c>
      <x:c r="Q54" s="6">
        <x:v>5</x:v>
      </x:c>
      <x:c r="R54" s="6">
        <x:v>4</x:v>
      </x:c>
      <x:c r="S54" s="6">
        <x:v>5</x:v>
      </x:c>
      <x:c r="T54" s="6">
        <x:v>4</x:v>
      </x:c>
      <x:c r="U54" s="6">
        <x:v>4</x:v>
      </x:c>
      <x:c r="V54" s="9">
        <x:f t="shared" si="1"/>
        <x:v>4.5</x:v>
      </x:c>
      <x:c r="W54" s="5" t="s">
        <x:v>620</x:v>
      </x:c>
    </x:row>
    <x:row r="55" ht="25.5">
      <x:c r="A55" s="5" t="s">
        <x:v>160</x:v>
      </x:c>
      <x:c r="B55" s="5" t="s">
        <x:v>134</x:v>
      </x:c>
      <x:c r="C55" s="5" t="s">
        <x:v>135</x:v>
      </x:c>
      <x:c r="D55" s="5" t="s">
        <x:v>161</x:v>
      </x:c>
      <x:c r="E55" s="5" t="s">
        <x:v>607</x:v>
      </x:c>
      <x:c r="F55" s="5" t="s">
        <x:v>621</x:v>
      </x:c>
      <x:c r="G55" s="5">
        <x:v>3</x:v>
      </x:c>
      <x:c r="H55" s="5" t="s">
        <x:v>248</x:v>
      </x:c>
      <x:c r="I55" s="5" t="s">
        <x:v>622</x:v>
      </x:c>
      <x:c r="J55" s="5" t="s">
        <x:v>92</x:v>
      </x:c>
      <x:c r="K55" s="5" t="s">
        <x:v>623</x:v>
      </x:c>
      <x:c r="L55" s="5" t="s">
        <x:v>624</x:v>
      </x:c>
      <x:c r="M55" s="5" t="s">
        <x:v>625</x:v>
      </x:c>
      <x:c r="N55" s="5" t="s">
        <x:v>626</x:v>
      </x:c>
      <x:c r="O55" s="5" t="s">
        <x:v>627</x:v>
      </x:c>
      <x:c r="P55" s="5">
        <x:v>50</x:v>
      </x:c>
      <x:c r="Q55" s="6">
        <x:v>4</x:v>
      </x:c>
      <x:c r="R55" s="6">
        <x:v>5</x:v>
      </x:c>
      <x:c r="S55" s="6">
        <x:v>4</x:v>
      </x:c>
      <x:c r="T55" s="6">
        <x:v>3</x:v>
      </x:c>
      <x:c r="U55" s="6">
        <x:v>5</x:v>
      </x:c>
      <x:c r="V55" s="9">
        <x:f t="shared" si="1"/>
        <x:v>4.2</x:v>
      </x:c>
      <x:c r="W55" s="5" t="s">
        <x:v>628</x:v>
      </x:c>
    </x:row>
    <x:row r="56" ht="25.5">
      <x:c r="A56" s="5" t="s">
        <x:v>167</x:v>
      </x:c>
      <x:c r="B56" s="5" t="s">
        <x:v>134</x:v>
      </x:c>
      <x:c r="C56" s="5" t="s">
        <x:v>135</x:v>
      </x:c>
      <x:c r="D56" s="5" t="s">
        <x:v>168</x:v>
      </x:c>
      <x:c r="E56" s="5" t="s">
        <x:v>629</x:v>
      </x:c>
      <x:c r="F56" s="5" t="s">
        <x:v>169</x:v>
      </x:c>
      <x:c r="G56" s="5">
        <x:v>1</x:v>
      </x:c>
      <x:c r="H56" s="5" t="s">
        <x:v>319</x:v>
      </x:c>
      <x:c r="I56" s="5" t="s">
        <x:v>630</x:v>
      </x:c>
      <x:c r="J56" s="5" t="s">
        <x:v>150</x:v>
      </x:c>
      <x:c r="K56" s="5" t="s">
        <x:v>631</x:v>
      </x:c>
      <x:c r="L56" s="5" t="s">
        <x:v>170</x:v>
      </x:c>
      <x:c r="M56" s="5" t="s">
        <x:v>632</x:v>
      </x:c>
      <x:c r="N56" s="5" t="s">
        <x:v>633</x:v>
      </x:c>
      <x:c r="O56" s="5" t="s">
        <x:v>172</x:v>
      </x:c>
      <x:c r="P56" s="5">
        <x:v>50</x:v>
      </x:c>
      <x:c r="Q56" s="6">
        <x:v>5</x:v>
      </x:c>
      <x:c r="R56" s="6">
        <x:v>5</x:v>
      </x:c>
      <x:c r="S56" s="6">
        <x:v>5</x:v>
      </x:c>
      <x:c r="T56" s="6">
        <x:v>4</x:v>
      </x:c>
      <x:c r="U56" s="6">
        <x:v>5</x:v>
      </x:c>
      <x:c r="V56" s="9">
        <x:f t="shared" si="1"/>
        <x:v>4.8499999999999996</x:v>
      </x:c>
      <x:c r="W56" s="5" t="s">
        <x:v>634</x:v>
      </x:c>
    </x:row>
    <x:row r="57" ht="25.5">
      <x:c r="A57" s="5" t="s">
        <x:v>167</x:v>
      </x:c>
      <x:c r="B57" s="5" t="s">
        <x:v>134</x:v>
      </x:c>
      <x:c r="C57" s="5" t="s">
        <x:v>135</x:v>
      </x:c>
      <x:c r="D57" s="5" t="s">
        <x:v>168</x:v>
      </x:c>
      <x:c r="E57" s="5" t="s">
        <x:v>629</x:v>
      </x:c>
      <x:c r="F57" s="5" t="s">
        <x:v>635</x:v>
      </x:c>
      <x:c r="G57" s="5">
        <x:v>2</x:v>
      </x:c>
      <x:c r="H57" s="5" t="s">
        <x:v>248</x:v>
      </x:c>
      <x:c r="I57" s="5" t="s">
        <x:v>636</x:v>
      </x:c>
      <x:c r="J57" s="5" t="s">
        <x:v>85</x:v>
      </x:c>
      <x:c r="K57" s="5" t="s">
        <x:v>637</x:v>
      </x:c>
      <x:c r="L57" s="5" t="s">
        <x:v>638</x:v>
      </x:c>
      <x:c r="M57" s="5" t="s">
        <x:v>639</x:v>
      </x:c>
      <x:c r="N57" s="5" t="s">
        <x:v>640</x:v>
      </x:c>
      <x:c r="O57" s="5" t="s">
        <x:v>641</x:v>
      </x:c>
      <x:c r="P57" s="5">
        <x:v>50</x:v>
      </x:c>
      <x:c r="Q57" s="6">
        <x:v>4</x:v>
      </x:c>
      <x:c r="R57" s="6">
        <x:v>5</x:v>
      </x:c>
      <x:c r="S57" s="6">
        <x:v>5</x:v>
      </x:c>
      <x:c r="T57" s="6">
        <x:v>3</x:v>
      </x:c>
      <x:c r="U57" s="6">
        <x:v>5</x:v>
      </x:c>
      <x:c r="V57" s="9">
        <x:f t="shared" si="1"/>
        <x:v>4.4000000000000004</x:v>
      </x:c>
      <x:c r="W57" s="5" t="s">
        <x:v>642</x:v>
      </x:c>
    </x:row>
    <x:row r="58" ht="25.5">
      <x:c r="A58" s="5" t="s">
        <x:v>167</x:v>
      </x:c>
      <x:c r="B58" s="5" t="s">
        <x:v>134</x:v>
      </x:c>
      <x:c r="C58" s="5" t="s">
        <x:v>135</x:v>
      </x:c>
      <x:c r="D58" s="5" t="s">
        <x:v>168</x:v>
      </x:c>
      <x:c r="E58" s="5" t="s">
        <x:v>629</x:v>
      </x:c>
      <x:c r="F58" s="5" t="s">
        <x:v>643</x:v>
      </x:c>
      <x:c r="G58" s="5">
        <x:v>3</x:v>
      </x:c>
      <x:c r="H58" s="5" t="s">
        <x:v>248</x:v>
      </x:c>
      <x:c r="I58" s="5" t="s">
        <x:v>644</x:v>
      </x:c>
      <x:c r="J58" s="5" t="s">
        <x:v>645</x:v>
      </x:c>
      <x:c r="K58" s="5" t="s">
        <x:v>646</x:v>
      </x:c>
      <x:c r="L58" s="5" t="s">
        <x:v>647</x:v>
      </x:c>
      <x:c r="M58" s="5" t="s">
        <x:v>648</x:v>
      </x:c>
      <x:c r="N58" s="5" t="s">
        <x:v>649</x:v>
      </x:c>
      <x:c r="O58" s="5" t="s">
        <x:v>650</x:v>
      </x:c>
      <x:c r="P58" s="5">
        <x:v>50</x:v>
      </x:c>
      <x:c r="Q58" s="6">
        <x:v>4</x:v>
      </x:c>
      <x:c r="R58" s="6">
        <x:v>4</x:v>
      </x:c>
      <x:c r="S58" s="6">
        <x:v>5</x:v>
      </x:c>
      <x:c r="T58" s="6">
        <x:v>4</x:v>
      </x:c>
      <x:c r="U58" s="6">
        <x:v>4</x:v>
      </x:c>
      <x:c r="V58" s="9">
        <x:f t="shared" si="1"/>
        <x:v>4.2</x:v>
      </x:c>
      <x:c r="W58" s="5" t="s">
        <x:v>651</x:v>
      </x:c>
    </x:row>
    <x:row r="59" ht="25.5">
      <x:c r="A59" s="5" t="s">
        <x:v>173</x:v>
      </x:c>
      <x:c r="B59" s="5" t="s">
        <x:v>174</x:v>
      </x:c>
      <x:c r="C59" s="5" t="s">
        <x:v>175</x:v>
      </x:c>
      <x:c r="D59" s="5" t="s">
        <x:v>176</x:v>
      </x:c>
      <x:c r="E59" s="5" t="s">
        <x:v>652</x:v>
      </x:c>
      <x:c r="F59" s="5" t="s">
        <x:v>177</x:v>
      </x:c>
      <x:c r="G59" s="5">
        <x:v>1</x:v>
      </x:c>
      <x:c r="H59" s="5" t="s">
        <x:v>319</x:v>
      </x:c>
      <x:c r="I59" s="5" t="s">
        <x:v>653</x:v>
      </x:c>
      <x:c r="J59" s="5" t="s">
        <x:v>178</x:v>
      </x:c>
      <x:c r="K59" s="5" t="s">
        <x:v>654</x:v>
      </x:c>
      <x:c r="L59" s="5" t="s">
        <x:v>179</x:v>
      </x:c>
      <x:c r="M59" s="5" t="s">
        <x:v>655</x:v>
      </x:c>
      <x:c r="N59" s="5" t="s">
        <x:v>656</x:v>
      </x:c>
      <x:c r="O59" s="5" t="s">
        <x:v>181</x:v>
      </x:c>
      <x:c r="P59" s="5">
        <x:v>50</x:v>
      </x:c>
      <x:c r="Q59" s="6">
        <x:v>5</x:v>
      </x:c>
      <x:c r="R59" s="6">
        <x:v>5</x:v>
      </x:c>
      <x:c r="S59" s="6">
        <x:v>5</x:v>
      </x:c>
      <x:c r="T59" s="6">
        <x:v>4</x:v>
      </x:c>
      <x:c r="U59" s="6">
        <x:v>5</x:v>
      </x:c>
      <x:c r="V59" s="9">
        <x:f t="shared" si="1"/>
        <x:v>4.8499999999999996</x:v>
      </x:c>
      <x:c r="W59" s="5" t="s">
        <x:v>657</x:v>
      </x:c>
    </x:row>
    <x:row r="60" ht="25.5">
      <x:c r="A60" s="5" t="s">
        <x:v>173</x:v>
      </x:c>
      <x:c r="B60" s="5" t="s">
        <x:v>174</x:v>
      </x:c>
      <x:c r="C60" s="5" t="s">
        <x:v>175</x:v>
      </x:c>
      <x:c r="D60" s="5" t="s">
        <x:v>176</x:v>
      </x:c>
      <x:c r="E60" s="5" t="s">
        <x:v>652</x:v>
      </x:c>
      <x:c r="F60" s="5" t="s">
        <x:v>658</x:v>
      </x:c>
      <x:c r="G60" s="5">
        <x:v>2</x:v>
      </x:c>
      <x:c r="H60" s="5" t="s">
        <x:v>248</x:v>
      </x:c>
      <x:c r="I60" s="5" t="s">
        <x:v>659</x:v>
      </x:c>
      <x:c r="J60" s="5" t="s">
        <x:v>660</x:v>
      </x:c>
      <x:c r="K60" s="5" t="s">
        <x:v>661</x:v>
      </x:c>
      <x:c r="L60" s="5" t="s">
        <x:v>662</x:v>
      </x:c>
      <x:c r="M60" s="5" t="s">
        <x:v>663</x:v>
      </x:c>
      <x:c r="N60" s="5" t="s">
        <x:v>664</x:v>
      </x:c>
      <x:c r="O60" s="5" t="s">
        <x:v>665</x:v>
      </x:c>
      <x:c r="P60" s="5">
        <x:v>50</x:v>
      </x:c>
      <x:c r="Q60" s="6">
        <x:v>4</x:v>
      </x:c>
      <x:c r="R60" s="6">
        <x:v>3</x:v>
      </x:c>
      <x:c r="S60" s="6">
        <x:v>5</x:v>
      </x:c>
      <x:c r="T60" s="6">
        <x:v>4</x:v>
      </x:c>
      <x:c r="U60" s="6">
        <x:v>4</x:v>
      </x:c>
      <x:c r="V60" s="9">
        <x:f t="shared" si="1"/>
        <x:v>4</x:v>
      </x:c>
      <x:c r="W60" s="5" t="s">
        <x:v>666</x:v>
      </x:c>
    </x:row>
    <x:row r="61" ht="25.5">
      <x:c r="A61" s="5" t="s">
        <x:v>173</x:v>
      </x:c>
      <x:c r="B61" s="5" t="s">
        <x:v>174</x:v>
      </x:c>
      <x:c r="C61" s="5" t="s">
        <x:v>175</x:v>
      </x:c>
      <x:c r="D61" s="5" t="s">
        <x:v>176</x:v>
      </x:c>
      <x:c r="E61" s="5" t="s">
        <x:v>652</x:v>
      </x:c>
      <x:c r="F61" s="5" t="s">
        <x:v>667</x:v>
      </x:c>
      <x:c r="G61" s="5">
        <x:v>3</x:v>
      </x:c>
      <x:c r="H61" s="5" t="s">
        <x:v>248</x:v>
      </x:c>
      <x:c r="I61" s="5" t="s">
        <x:v>668</x:v>
      </x:c>
      <x:c r="J61" s="5" t="s">
        <x:v>178</x:v>
      </x:c>
      <x:c r="K61" s="5" t="s">
        <x:v>669</x:v>
      </x:c>
      <x:c r="L61" s="5" t="s">
        <x:v>670</x:v>
      </x:c>
      <x:c r="M61" s="5" t="s">
        <x:v>671</x:v>
      </x:c>
      <x:c r="N61" s="5" t="s">
        <x:v>672</x:v>
      </x:c>
      <x:c r="O61" s="5" t="s">
        <x:v>673</x:v>
      </x:c>
      <x:c r="P61" s="5">
        <x:v>50</x:v>
      </x:c>
      <x:c r="Q61" s="6">
        <x:v>4</x:v>
      </x:c>
      <x:c r="R61" s="6">
        <x:v>5</x:v>
      </x:c>
      <x:c r="S61" s="6">
        <x:v>5</x:v>
      </x:c>
      <x:c r="T61" s="6">
        <x:v>3</x:v>
      </x:c>
      <x:c r="U61" s="6">
        <x:v>5</x:v>
      </x:c>
      <x:c r="V61" s="9">
        <x:f t="shared" si="1"/>
        <x:v>4.4000000000000004</x:v>
      </x:c>
      <x:c r="W61" s="5" t="s">
        <x:v>674</x:v>
      </x:c>
    </x:row>
    <x:row r="62" ht="25.5">
      <x:c r="A62" s="5" t="s">
        <x:v>182</x:v>
      </x:c>
      <x:c r="B62" s="5" t="s">
        <x:v>174</x:v>
      </x:c>
      <x:c r="C62" s="5" t="s">
        <x:v>175</x:v>
      </x:c>
      <x:c r="D62" s="5" t="s">
        <x:v>183</x:v>
      </x:c>
      <x:c r="E62" s="5" t="s">
        <x:v>675</x:v>
      </x:c>
      <x:c r="F62" s="5" t="s">
        <x:v>184</x:v>
      </x:c>
      <x:c r="G62" s="5">
        <x:v>1</x:v>
      </x:c>
      <x:c r="H62" s="5" t="s">
        <x:v>248</x:v>
      </x:c>
      <x:c r="I62" s="5" t="s">
        <x:v>387</x:v>
      </x:c>
      <x:c r="J62" s="5" t="s">
        <x:v>185</x:v>
      </x:c>
      <x:c r="K62" s="5" t="s">
        <x:v>676</x:v>
      </x:c>
      <x:c r="L62" s="5" t="s">
        <x:v>186</x:v>
      </x:c>
      <x:c r="M62" s="5" t="s">
        <x:v>677</x:v>
      </x:c>
      <x:c r="N62" s="5" t="s">
        <x:v>678</x:v>
      </x:c>
      <x:c r="O62" s="5" t="s">
        <x:v>188</x:v>
      </x:c>
      <x:c r="P62" s="5">
        <x:v>55</x:v>
      </x:c>
      <x:c r="Q62" s="6">
        <x:v>5</x:v>
      </x:c>
      <x:c r="R62" s="6">
        <x:v>5</x:v>
      </x:c>
      <x:c r="S62" s="6">
        <x:v>4</x:v>
      </x:c>
      <x:c r="T62" s="6">
        <x:v>3</x:v>
      </x:c>
      <x:c r="U62" s="6">
        <x:v>5</x:v>
      </x:c>
      <x:c r="V62" s="9">
        <x:f t="shared" si="1"/>
        <x:v>4.5</x:v>
      </x:c>
      <x:c r="W62" s="5" t="s">
        <x:v>679</x:v>
      </x:c>
    </x:row>
    <x:row r="63" ht="25.5">
      <x:c r="A63" s="5" t="s">
        <x:v>182</x:v>
      </x:c>
      <x:c r="B63" s="5" t="s">
        <x:v>174</x:v>
      </x:c>
      <x:c r="C63" s="5" t="s">
        <x:v>175</x:v>
      </x:c>
      <x:c r="D63" s="5" t="s">
        <x:v>183</x:v>
      </x:c>
      <x:c r="E63" s="5" t="s">
        <x:v>675</x:v>
      </x:c>
      <x:c r="F63" s="5" t="s">
        <x:v>680</x:v>
      </x:c>
      <x:c r="G63" s="5">
        <x:v>2</x:v>
      </x:c>
      <x:c r="H63" s="5" t="s">
        <x:v>248</x:v>
      </x:c>
      <x:c r="I63" s="5" t="s">
        <x:v>681</x:v>
      </x:c>
      <x:c r="J63" s="5" t="s">
        <x:v>682</x:v>
      </x:c>
      <x:c r="K63" s="5" t="s">
        <x:v>683</x:v>
      </x:c>
      <x:c r="L63" s="5" t="s">
        <x:v>684</x:v>
      </x:c>
      <x:c r="M63" s="5" t="s">
        <x:v>685</x:v>
      </x:c>
      <x:c r="N63" s="5" t="s">
        <x:v>686</x:v>
      </x:c>
      <x:c r="O63" s="5" t="s">
        <x:v>687</x:v>
      </x:c>
      <x:c r="P63" s="5">
        <x:v>55</x:v>
      </x:c>
      <x:c r="Q63" s="6">
        <x:v>4</x:v>
      </x:c>
      <x:c r="R63" s="6">
        <x:v>5</x:v>
      </x:c>
      <x:c r="S63" s="6">
        <x:v>5</x:v>
      </x:c>
      <x:c r="T63" s="6">
        <x:v>4</x:v>
      </x:c>
      <x:c r="U63" s="6">
        <x:v>4</x:v>
      </x:c>
      <x:c r="V63" s="9">
        <x:f t="shared" si="1"/>
        <x:v>4.4000000000000004</x:v>
      </x:c>
      <x:c r="W63" s="5" t="s">
        <x:v>688</x:v>
      </x:c>
    </x:row>
    <x:row r="64" ht="25.5">
      <x:c r="A64" s="5" t="s">
        <x:v>182</x:v>
      </x:c>
      <x:c r="B64" s="5" t="s">
        <x:v>174</x:v>
      </x:c>
      <x:c r="C64" s="5" t="s">
        <x:v>175</x:v>
      </x:c>
      <x:c r="D64" s="5" t="s">
        <x:v>183</x:v>
      </x:c>
      <x:c r="E64" s="5" t="s">
        <x:v>675</x:v>
      </x:c>
      <x:c r="F64" s="5" t="s">
        <x:v>689</x:v>
      </x:c>
      <x:c r="G64" s="5">
        <x:v>3</x:v>
      </x:c>
      <x:c r="H64" s="5" t="s">
        <x:v>279</x:v>
      </x:c>
      <x:c r="I64" s="5" t="s">
        <x:v>653</x:v>
      </x:c>
      <x:c r="J64" s="5" t="s">
        <x:v>178</x:v>
      </x:c>
      <x:c r="K64" s="5" t="s">
        <x:v>690</x:v>
      </x:c>
      <x:c r="L64" s="5" t="s">
        <x:v>691</x:v>
      </x:c>
      <x:c r="M64" s="5" t="s">
        <x:v>692</x:v>
      </x:c>
      <x:c r="N64" s="5" t="s">
        <x:v>693</x:v>
      </x:c>
      <x:c r="O64" s="5" t="s">
        <x:v>694</x:v>
      </x:c>
      <x:c r="P64" s="5">
        <x:v>55</x:v>
      </x:c>
      <x:c r="Q64" s="6">
        <x:v>3</x:v>
      </x:c>
      <x:c r="R64" s="6">
        <x:v>4</x:v>
      </x:c>
      <x:c r="S64" s="6">
        <x:v>5</x:v>
      </x:c>
      <x:c r="T64" s="6">
        <x:v>3</x:v>
      </x:c>
      <x:c r="U64" s="6">
        <x:v>5</x:v>
      </x:c>
      <x:c r="V64" s="9">
        <x:f t="shared" si="1"/>
        <x:v>3.9</x:v>
      </x:c>
      <x:c r="W64" s="5" t="s">
        <x:v>695</x:v>
      </x:c>
    </x:row>
    <x:row r="65" ht="25.5">
      <x:c r="A65" s="5" t="s">
        <x:v>189</x:v>
      </x:c>
      <x:c r="B65" s="5" t="s">
        <x:v>174</x:v>
      </x:c>
      <x:c r="C65" s="5" t="s">
        <x:v>175</x:v>
      </x:c>
      <x:c r="D65" s="5" t="s">
        <x:v>190</x:v>
      </x:c>
      <x:c r="E65" s="5" t="s">
        <x:v>696</x:v>
      </x:c>
      <x:c r="F65" s="5" t="s">
        <x:v>191</x:v>
      </x:c>
      <x:c r="G65" s="5">
        <x:v>1</x:v>
      </x:c>
      <x:c r="H65" s="5" t="s">
        <x:v>319</x:v>
      </x:c>
      <x:c r="I65" s="5" t="s">
        <x:v>697</x:v>
      </x:c>
      <x:c r="J65" s="5" t="s">
        <x:v>192</x:v>
      </x:c>
      <x:c r="K65" s="5" t="s">
        <x:v>698</x:v>
      </x:c>
      <x:c r="L65" s="5" t="s">
        <x:v>193</x:v>
      </x:c>
      <x:c r="M65" s="5" t="s">
        <x:v>699</x:v>
      </x:c>
      <x:c r="N65" s="5" t="s">
        <x:v>700</x:v>
      </x:c>
      <x:c r="O65" s="5" t="s">
        <x:v>195</x:v>
      </x:c>
      <x:c r="P65" s="5">
        <x:v>55</x:v>
      </x:c>
      <x:c r="Q65" s="6">
        <x:v>5</x:v>
      </x:c>
      <x:c r="R65" s="6">
        <x:v>5</x:v>
      </x:c>
      <x:c r="S65" s="6">
        <x:v>5</x:v>
      </x:c>
      <x:c r="T65" s="6">
        <x:v>4</x:v>
      </x:c>
      <x:c r="U65" s="6">
        <x:v>4</x:v>
      </x:c>
      <x:c r="V65" s="9">
        <x:f t="shared" si="1"/>
        <x:v>4.7</x:v>
      </x:c>
      <x:c r="W65" s="5" t="s">
        <x:v>701</x:v>
      </x:c>
    </x:row>
    <x:row r="66" ht="25.5">
      <x:c r="A66" s="5" t="s">
        <x:v>189</x:v>
      </x:c>
      <x:c r="B66" s="5" t="s">
        <x:v>174</x:v>
      </x:c>
      <x:c r="C66" s="5" t="s">
        <x:v>175</x:v>
      </x:c>
      <x:c r="D66" s="5" t="s">
        <x:v>190</x:v>
      </x:c>
      <x:c r="E66" s="5" t="s">
        <x:v>696</x:v>
      </x:c>
      <x:c r="F66" s="5" t="s">
        <x:v>702</x:v>
      </x:c>
      <x:c r="G66" s="5">
        <x:v>2</x:v>
      </x:c>
      <x:c r="H66" s="5" t="s">
        <x:v>248</x:v>
      </x:c>
      <x:c r="I66" s="5" t="s">
        <x:v>697</x:v>
      </x:c>
      <x:c r="J66" s="5" t="s">
        <x:v>290</x:v>
      </x:c>
      <x:c r="K66" s="5" t="s">
        <x:v>703</x:v>
      </x:c>
      <x:c r="L66" s="5" t="s">
        <x:v>704</x:v>
      </x:c>
      <x:c r="M66" s="5" t="s">
        <x:v>705</x:v>
      </x:c>
      <x:c r="N66" s="5" t="s">
        <x:v>706</x:v>
      </x:c>
      <x:c r="O66" s="5" t="s">
        <x:v>707</x:v>
      </x:c>
      <x:c r="P66" s="5">
        <x:v>55</x:v>
      </x:c>
      <x:c r="Q66" s="6">
        <x:v>4</x:v>
      </x:c>
      <x:c r="R66" s="6">
        <x:v>5</x:v>
      </x:c>
      <x:c r="S66" s="6">
        <x:v>5</x:v>
      </x:c>
      <x:c r="T66" s="6">
        <x:v>4</x:v>
      </x:c>
      <x:c r="U66" s="6">
        <x:v>4</x:v>
      </x:c>
      <x:c r="V66" s="9">
        <x:f t="shared" si="1"/>
        <x:v>4.4000000000000004</x:v>
      </x:c>
      <x:c r="W66" s="5" t="s">
        <x:v>708</x:v>
      </x:c>
    </x:row>
    <x:row r="67" ht="25.5">
      <x:c r="A67" s="5" t="s">
        <x:v>189</x:v>
      </x:c>
      <x:c r="B67" s="5" t="s">
        <x:v>174</x:v>
      </x:c>
      <x:c r="C67" s="5" t="s">
        <x:v>175</x:v>
      </x:c>
      <x:c r="D67" s="5" t="s">
        <x:v>190</x:v>
      </x:c>
      <x:c r="E67" s="5" t="s">
        <x:v>696</x:v>
      </x:c>
      <x:c r="F67" s="5" t="s">
        <x:v>709</x:v>
      </x:c>
      <x:c r="G67" s="5">
        <x:v>3</x:v>
      </x:c>
      <x:c r="H67" s="5" t="s">
        <x:v>248</x:v>
      </x:c>
      <x:c r="I67" s="5" t="s">
        <x:v>710</x:v>
      </x:c>
      <x:c r="J67" s="5" t="s">
        <x:v>85</x:v>
      </x:c>
      <x:c r="K67" s="5" t="s">
        <x:v>711</x:v>
      </x:c>
      <x:c r="L67" s="5" t="s">
        <x:v>712</x:v>
      </x:c>
      <x:c r="M67" s="5" t="s">
        <x:v>713</x:v>
      </x:c>
      <x:c r="N67" s="5" t="s">
        <x:v>714</x:v>
      </x:c>
      <x:c r="O67" s="5" t="s">
        <x:v>715</x:v>
      </x:c>
      <x:c r="P67" s="5">
        <x:v>55</x:v>
      </x:c>
      <x:c r="Q67" s="6">
        <x:v>4</x:v>
      </x:c>
      <x:c r="R67" s="6">
        <x:v>4</x:v>
      </x:c>
      <x:c r="S67" s="6">
        <x:v>5</x:v>
      </x:c>
      <x:c r="T67" s="6">
        <x:v>3</x:v>
      </x:c>
      <x:c r="U67" s="6">
        <x:v>5</x:v>
      </x:c>
      <x:c r="V67" s="9">
        <x:f t="shared" si="1"/>
        <x:v>4.2</x:v>
      </x:c>
      <x:c r="W67" s="5" t="s">
        <x:v>716</x:v>
      </x:c>
    </x:row>
    <x:row r="68" ht="25.5">
      <x:c r="A68" s="5" t="s">
        <x:v>196</x:v>
      </x:c>
      <x:c r="B68" s="5" t="s">
        <x:v>174</x:v>
      </x:c>
      <x:c r="C68" s="5" t="s">
        <x:v>175</x:v>
      </x:c>
      <x:c r="D68" s="5" t="s">
        <x:v>197</x:v>
      </x:c>
      <x:c r="E68" s="5" t="s">
        <x:v>717</x:v>
      </x:c>
      <x:c r="F68" s="5" t="s">
        <x:v>198</x:v>
      </x:c>
      <x:c r="G68" s="5">
        <x:v>1</x:v>
      </x:c>
      <x:c r="H68" s="5" t="s">
        <x:v>248</x:v>
      </x:c>
      <x:c r="I68" s="5" t="s">
        <x:v>718</x:v>
      </x:c>
      <x:c r="J68" s="5" t="s">
        <x:v>42</x:v>
      </x:c>
      <x:c r="K68" s="5" t="s">
        <x:v>719</x:v>
      </x:c>
      <x:c r="L68" s="5" t="s">
        <x:v>199</x:v>
      </x:c>
      <x:c r="M68" s="5" t="s">
        <x:v>720</x:v>
      </x:c>
      <x:c r="N68" s="5" t="s">
        <x:v>721</x:v>
      </x:c>
      <x:c r="O68" s="5" t="s">
        <x:v>201</x:v>
      </x:c>
      <x:c r="P68" s="5">
        <x:v>50</x:v>
      </x:c>
      <x:c r="Q68" s="6">
        <x:v>5</x:v>
      </x:c>
      <x:c r="R68" s="6">
        <x:v>5</x:v>
      </x:c>
      <x:c r="S68" s="6">
        <x:v>5</x:v>
      </x:c>
      <x:c r="T68" s="6">
        <x:v>4</x:v>
      </x:c>
      <x:c r="U68" s="6">
        <x:v>4</x:v>
      </x:c>
      <x:c r="V68" s="9">
        <x:f t="shared" si="1"/>
        <x:v>4.7</x:v>
      </x:c>
      <x:c r="W68" s="5" t="s">
        <x:v>722</x:v>
      </x:c>
    </x:row>
    <x:row r="69" ht="25.5">
      <x:c r="A69" s="5" t="s">
        <x:v>196</x:v>
      </x:c>
      <x:c r="B69" s="5" t="s">
        <x:v>174</x:v>
      </x:c>
      <x:c r="C69" s="5" t="s">
        <x:v>175</x:v>
      </x:c>
      <x:c r="D69" s="5" t="s">
        <x:v>197</x:v>
      </x:c>
      <x:c r="E69" s="5" t="s">
        <x:v>717</x:v>
      </x:c>
      <x:c r="F69" s="5" t="s">
        <x:v>723</x:v>
      </x:c>
      <x:c r="G69" s="5">
        <x:v>2</x:v>
      </x:c>
      <x:c r="H69" s="5" t="s">
        <x:v>279</x:v>
      </x:c>
      <x:c r="I69" s="5" t="s">
        <x:v>724</x:v>
      </x:c>
      <x:c r="J69" s="5" t="s">
        <x:v>178</x:v>
      </x:c>
      <x:c r="K69" s="5" t="s">
        <x:v>725</x:v>
      </x:c>
      <x:c r="L69" s="5" t="s">
        <x:v>726</x:v>
      </x:c>
      <x:c r="M69" s="5" t="s">
        <x:v>727</x:v>
      </x:c>
      <x:c r="N69" s="5" t="s">
        <x:v>728</x:v>
      </x:c>
      <x:c r="O69" s="5" t="s">
        <x:v>729</x:v>
      </x:c>
      <x:c r="P69" s="5">
        <x:v>50</x:v>
      </x:c>
      <x:c r="Q69" s="6">
        <x:v>4</x:v>
      </x:c>
      <x:c r="R69" s="6">
        <x:v>5</x:v>
      </x:c>
      <x:c r="S69" s="6">
        <x:v>5</x:v>
      </x:c>
      <x:c r="T69" s="6">
        <x:v>4</x:v>
      </x:c>
      <x:c r="U69" s="6">
        <x:v>5</x:v>
      </x:c>
      <x:c r="V69" s="9" t="n">
        <x:f t="shared" ref="V69:V82" si="2">ROUND(Q69*0.3+R69*0.2+S69*0.2+T69*0.15+U69*0.15,2)</x:f>
        <x:v>4.55</x:v>
      </x:c>
      <x:c r="W69" s="5" t="s">
        <x:v>730</x:v>
      </x:c>
    </x:row>
    <x:row r="70" ht="25.5">
      <x:c r="A70" s="5" t="s">
        <x:v>196</x:v>
      </x:c>
      <x:c r="B70" s="5" t="s">
        <x:v>174</x:v>
      </x:c>
      <x:c r="C70" s="5" t="s">
        <x:v>175</x:v>
      </x:c>
      <x:c r="D70" s="5" t="s">
        <x:v>197</x:v>
      </x:c>
      <x:c r="E70" s="5" t="s">
        <x:v>717</x:v>
      </x:c>
      <x:c r="F70" s="5" t="s">
        <x:v>731</x:v>
      </x:c>
      <x:c r="G70" s="5">
        <x:v>3</x:v>
      </x:c>
      <x:c r="H70" s="5" t="s">
        <x:v>248</x:v>
      </x:c>
      <x:c r="I70" s="5" t="s">
        <x:v>724</x:v>
      </x:c>
      <x:c r="J70" s="5" t="s">
        <x:v>108</x:v>
      </x:c>
      <x:c r="K70" s="5" t="s">
        <x:v>732</x:v>
      </x:c>
      <x:c r="L70" s="5" t="s">
        <x:v>733</x:v>
      </x:c>
      <x:c r="M70" s="5" t="s">
        <x:v>734</x:v>
      </x:c>
      <x:c r="N70" s="5" t="s">
        <x:v>735</x:v>
      </x:c>
      <x:c r="O70" s="5" t="s">
        <x:v>736</x:v>
      </x:c>
      <x:c r="P70" s="5">
        <x:v>50</x:v>
      </x:c>
      <x:c r="Q70" s="6">
        <x:v>3</x:v>
      </x:c>
      <x:c r="R70" s="6">
        <x:v>4</x:v>
      </x:c>
      <x:c r="S70" s="6">
        <x:v>4</x:v>
      </x:c>
      <x:c r="T70" s="6">
        <x:v>3</x:v>
      </x:c>
      <x:c r="U70" s="6">
        <x:v>5</x:v>
      </x:c>
      <x:c r="V70" s="9">
        <x:f t="shared" si="2"/>
        <x:v>3.7</x:v>
      </x:c>
      <x:c r="W70" s="5" t="s">
        <x:v>737</x:v>
      </x:c>
    </x:row>
    <x:row r="71" ht="25.5">
      <x:c r="A71" s="5" t="s">
        <x:v>202</x:v>
      </x:c>
      <x:c r="B71" s="5" t="s">
        <x:v>174</x:v>
      </x:c>
      <x:c r="C71" s="5" t="s">
        <x:v>175</x:v>
      </x:c>
      <x:c r="D71" s="5" t="s">
        <x:v>203</x:v>
      </x:c>
      <x:c r="E71" s="5" t="s">
        <x:v>738</x:v>
      </x:c>
      <x:c r="F71" s="5" t="s">
        <x:v>204</x:v>
      </x:c>
      <x:c r="G71" s="5">
        <x:v>1</x:v>
      </x:c>
      <x:c r="H71" s="5" t="s">
        <x:v>248</x:v>
      </x:c>
      <x:c r="I71" s="5" t="s">
        <x:v>739</x:v>
      </x:c>
      <x:c r="J71" s="5" t="s">
        <x:v>85</x:v>
      </x:c>
      <x:c r="K71" s="5" t="s">
        <x:v>740</x:v>
      </x:c>
      <x:c r="L71" s="5" t="s">
        <x:v>205</x:v>
      </x:c>
      <x:c r="M71" s="5" t="s">
        <x:v>741</x:v>
      </x:c>
      <x:c r="N71" s="5" t="s">
        <x:v>742</x:v>
      </x:c>
      <x:c r="O71" s="5" t="s">
        <x:v>207</x:v>
      </x:c>
      <x:c r="P71" s="5">
        <x:v>55</x:v>
      </x:c>
      <x:c r="Q71" s="6">
        <x:v>5</x:v>
      </x:c>
      <x:c r="R71" s="6">
        <x:v>5</x:v>
      </x:c>
      <x:c r="S71" s="6">
        <x:v>5</x:v>
      </x:c>
      <x:c r="T71" s="6">
        <x:v>4</x:v>
      </x:c>
      <x:c r="U71" s="6">
        <x:v>5</x:v>
      </x:c>
      <x:c r="V71" s="9">
        <x:f t="shared" si="2"/>
        <x:v>4.8499999999999996</x:v>
      </x:c>
      <x:c r="W71" s="5" t="s">
        <x:v>743</x:v>
      </x:c>
    </x:row>
    <x:row r="72" ht="25.5">
      <x:c r="A72" s="5" t="s">
        <x:v>202</x:v>
      </x:c>
      <x:c r="B72" s="5" t="s">
        <x:v>174</x:v>
      </x:c>
      <x:c r="C72" s="5" t="s">
        <x:v>175</x:v>
      </x:c>
      <x:c r="D72" s="5" t="s">
        <x:v>203</x:v>
      </x:c>
      <x:c r="E72" s="5" t="s">
        <x:v>738</x:v>
      </x:c>
      <x:c r="F72" s="5" t="s">
        <x:v>744</x:v>
      </x:c>
      <x:c r="G72" s="5">
        <x:v>2</x:v>
      </x:c>
      <x:c r="H72" s="5" t="s">
        <x:v>745</x:v>
      </x:c>
      <x:c r="I72" s="5" t="s">
        <x:v>746</x:v>
      </x:c>
      <x:c r="J72" s="5" t="s">
        <x:v>747</x:v>
      </x:c>
      <x:c r="K72" s="5" t="s">
        <x:v>748</x:v>
      </x:c>
      <x:c r="L72" s="5" t="s">
        <x:v>749</x:v>
      </x:c>
      <x:c r="M72" s="5" t="s">
        <x:v>750</x:v>
      </x:c>
      <x:c r="N72" s="5" t="s">
        <x:v>751</x:v>
      </x:c>
      <x:c r="O72" s="5" t="s">
        <x:v>752</x:v>
      </x:c>
      <x:c r="P72" s="5">
        <x:v>55</x:v>
      </x:c>
      <x:c r="Q72" s="6">
        <x:v>4</x:v>
      </x:c>
      <x:c r="R72" s="6">
        <x:v>5</x:v>
      </x:c>
      <x:c r="S72" s="6">
        <x:v>5</x:v>
      </x:c>
      <x:c r="T72" s="6">
        <x:v>3</x:v>
      </x:c>
      <x:c r="U72" s="6">
        <x:v>5</x:v>
      </x:c>
      <x:c r="V72" s="9">
        <x:f t="shared" si="2"/>
        <x:v>4.4000000000000004</x:v>
      </x:c>
      <x:c r="W72" s="5" t="s">
        <x:v>753</x:v>
      </x:c>
    </x:row>
    <x:row r="73" ht="25.5">
      <x:c r="A73" s="5" t="s">
        <x:v>202</x:v>
      </x:c>
      <x:c r="B73" s="5" t="s">
        <x:v>174</x:v>
      </x:c>
      <x:c r="C73" s="5" t="s">
        <x:v>175</x:v>
      </x:c>
      <x:c r="D73" s="5" t="s">
        <x:v>203</x:v>
      </x:c>
      <x:c r="E73" s="5" t="s">
        <x:v>738</x:v>
      </x:c>
      <x:c r="F73" s="5" t="s">
        <x:v>754</x:v>
      </x:c>
      <x:c r="G73" s="5">
        <x:v>3</x:v>
      </x:c>
      <x:c r="H73" s="5" t="s">
        <x:v>279</x:v>
      </x:c>
      <x:c r="I73" s="5" t="s">
        <x:v>755</x:v>
      </x:c>
      <x:c r="J73" s="5" t="s">
        <x:v>178</x:v>
      </x:c>
      <x:c r="K73" s="5" t="s">
        <x:v>756</x:v>
      </x:c>
      <x:c r="L73" s="5" t="s">
        <x:v>757</x:v>
      </x:c>
      <x:c r="M73" s="5" t="s">
        <x:v>758</x:v>
      </x:c>
      <x:c r="N73" s="5" t="s">
        <x:v>759</x:v>
      </x:c>
      <x:c r="O73" s="5" t="s">
        <x:v>760</x:v>
      </x:c>
      <x:c r="P73" s="5">
        <x:v>55</x:v>
      </x:c>
      <x:c r="Q73" s="6">
        <x:v>4</x:v>
      </x:c>
      <x:c r="R73" s="6">
        <x:v>5</x:v>
      </x:c>
      <x:c r="S73" s="6">
        <x:v>5</x:v>
      </x:c>
      <x:c r="T73" s="6">
        <x:v>3</x:v>
      </x:c>
      <x:c r="U73" s="6">
        <x:v>5</x:v>
      </x:c>
      <x:c r="V73" s="9">
        <x:f t="shared" si="2"/>
        <x:v>4.4000000000000004</x:v>
      </x:c>
      <x:c r="W73" s="5" t="s">
        <x:v>761</x:v>
      </x:c>
    </x:row>
    <x:row r="74" ht="25.5">
      <x:c r="A74" s="5" t="s">
        <x:v>208</x:v>
      </x:c>
      <x:c r="B74" s="5" t="s">
        <x:v>209</x:v>
      </x:c>
      <x:c r="C74" s="5" t="s">
        <x:v>210</x:v>
      </x:c>
      <x:c r="D74" s="5" t="s">
        <x:v>211</x:v>
      </x:c>
      <x:c r="E74" s="5" t="s">
        <x:v>762</x:v>
      </x:c>
      <x:c r="F74" s="5" t="s">
        <x:v>212</x:v>
      </x:c>
      <x:c r="G74" s="5">
        <x:v>1</x:v>
      </x:c>
      <x:c r="H74" s="5" t="s">
        <x:v>319</x:v>
      </x:c>
      <x:c r="I74" s="5" t="s">
        <x:v>763</x:v>
      </x:c>
      <x:c r="J74" s="5" t="s">
        <x:v>213</x:v>
      </x:c>
      <x:c r="K74" s="5" t="s">
        <x:v>764</x:v>
      </x:c>
      <x:c r="L74" s="5" t="s">
        <x:v>214</x:v>
      </x:c>
      <x:c r="M74" s="5" t="s">
        <x:v>765</x:v>
      </x:c>
      <x:c r="N74" s="5" t="s">
        <x:v>766</x:v>
      </x:c>
      <x:c r="O74" s="5" t="s">
        <x:v>216</x:v>
      </x:c>
      <x:c r="P74" s="5">
        <x:v>40</x:v>
      </x:c>
      <x:c r="Q74" s="6">
        <x:v>5</x:v>
      </x:c>
      <x:c r="R74" s="6">
        <x:v>5</x:v>
      </x:c>
      <x:c r="S74" s="6">
        <x:v>5</x:v>
      </x:c>
      <x:c r="T74" s="6">
        <x:v>4</x:v>
      </x:c>
      <x:c r="U74" s="6">
        <x:v>5</x:v>
      </x:c>
      <x:c r="V74" s="9">
        <x:f t="shared" si="2"/>
        <x:v>4.8499999999999996</x:v>
      </x:c>
      <x:c r="W74" s="5" t="s">
        <x:v>767</x:v>
      </x:c>
    </x:row>
    <x:row r="75" ht="25.5">
      <x:c r="A75" s="5" t="s">
        <x:v>208</x:v>
      </x:c>
      <x:c r="B75" s="5" t="s">
        <x:v>209</x:v>
      </x:c>
      <x:c r="C75" s="5" t="s">
        <x:v>210</x:v>
      </x:c>
      <x:c r="D75" s="5" t="s">
        <x:v>211</x:v>
      </x:c>
      <x:c r="E75" s="5" t="s">
        <x:v>762</x:v>
      </x:c>
      <x:c r="F75" s="5" t="s">
        <x:v>768</x:v>
      </x:c>
      <x:c r="G75" s="5">
        <x:v>2</x:v>
      </x:c>
      <x:c r="H75" s="5" t="s">
        <x:v>248</x:v>
      </x:c>
      <x:c r="I75" s="5" t="s">
        <x:v>763</x:v>
      </x:c>
      <x:c r="J75" s="5" t="s">
        <x:v>769</x:v>
      </x:c>
      <x:c r="K75" s="5" t="s">
        <x:v>770</x:v>
      </x:c>
      <x:c r="L75" s="5" t="s">
        <x:v>771</x:v>
      </x:c>
      <x:c r="M75" s="5" t="s">
        <x:v>772</x:v>
      </x:c>
      <x:c r="N75" s="5" t="s">
        <x:v>773</x:v>
      </x:c>
      <x:c r="O75" s="5" t="s">
        <x:v>774</x:v>
      </x:c>
      <x:c r="P75" s="5">
        <x:v>40</x:v>
      </x:c>
      <x:c r="Q75" s="6">
        <x:v>4</x:v>
      </x:c>
      <x:c r="R75" s="6">
        <x:v>5</x:v>
      </x:c>
      <x:c r="S75" s="6">
        <x:v>5</x:v>
      </x:c>
      <x:c r="T75" s="6">
        <x:v>4</x:v>
      </x:c>
      <x:c r="U75" s="6">
        <x:v>5</x:v>
      </x:c>
      <x:c r="V75" s="9">
        <x:f t="shared" si="2"/>
        <x:v>4.55</x:v>
      </x:c>
      <x:c r="W75" s="5" t="s">
        <x:v>775</x:v>
      </x:c>
    </x:row>
    <x:row r="76" ht="25.5">
      <x:c r="A76" s="5" t="s">
        <x:v>208</x:v>
      </x:c>
      <x:c r="B76" s="5" t="s">
        <x:v>209</x:v>
      </x:c>
      <x:c r="C76" s="5" t="s">
        <x:v>210</x:v>
      </x:c>
      <x:c r="D76" s="5" t="s">
        <x:v>211</x:v>
      </x:c>
      <x:c r="E76" s="5" t="s">
        <x:v>762</x:v>
      </x:c>
      <x:c r="F76" s="5" t="s">
        <x:v>776</x:v>
      </x:c>
      <x:c r="G76" s="5">
        <x:v>3</x:v>
      </x:c>
      <x:c r="H76" s="5" t="s">
        <x:v>248</x:v>
      </x:c>
      <x:c r="I76" s="5" t="s">
        <x:v>777</x:v>
      </x:c>
      <x:c r="J76" s="5" t="s">
        <x:v>778</x:v>
      </x:c>
      <x:c r="K76" s="5" t="s">
        <x:v>779</x:v>
      </x:c>
      <x:c r="L76" s="5" t="s">
        <x:v>780</x:v>
      </x:c>
      <x:c r="M76" s="5" t="s">
        <x:v>781</x:v>
      </x:c>
      <x:c r="N76" s="5" t="s">
        <x:v>782</x:v>
      </x:c>
      <x:c r="O76" s="5" t="s">
        <x:v>783</x:v>
      </x:c>
      <x:c r="P76" s="5">
        <x:v>40</x:v>
      </x:c>
      <x:c r="Q76" s="6">
        <x:v>3</x:v>
      </x:c>
      <x:c r="R76" s="6">
        <x:v>5</x:v>
      </x:c>
      <x:c r="S76" s="6">
        <x:v>5</x:v>
      </x:c>
      <x:c r="T76" s="6">
        <x:v>4</x:v>
      </x:c>
      <x:c r="U76" s="6">
        <x:v>4</x:v>
      </x:c>
      <x:c r="V76" s="9">
        <x:f t="shared" si="2"/>
        <x:v>4.0999999999999996</x:v>
      </x:c>
      <x:c r="W76" s="5" t="s">
        <x:v>784</x:v>
      </x:c>
    </x:row>
    <x:row r="77" ht="25.5">
      <x:c r="A77" s="5" t="s">
        <x:v>217</x:v>
      </x:c>
      <x:c r="B77" s="5" t="s">
        <x:v>209</x:v>
      </x:c>
      <x:c r="C77" s="5" t="s">
        <x:v>210</x:v>
      </x:c>
      <x:c r="D77" s="5" t="s">
        <x:v>218</x:v>
      </x:c>
      <x:c r="E77" s="5" t="s">
        <x:v>785</x:v>
      </x:c>
      <x:c r="F77" s="5" t="s">
        <x:v>219</x:v>
      </x:c>
      <x:c r="G77" s="5">
        <x:v>1</x:v>
      </x:c>
      <x:c r="H77" s="5" t="s">
        <x:v>248</x:v>
      </x:c>
      <x:c r="I77" s="5" t="s">
        <x:v>786</x:v>
      </x:c>
      <x:c r="J77" s="5" t="s">
        <x:v>85</x:v>
      </x:c>
      <x:c r="K77" s="5" t="s">
        <x:v>787</x:v>
      </x:c>
      <x:c r="L77" s="5" t="s">
        <x:v>220</x:v>
      </x:c>
      <x:c r="M77" s="5" t="s">
        <x:v>788</x:v>
      </x:c>
      <x:c r="N77" s="5" t="s">
        <x:v>789</x:v>
      </x:c>
      <x:c r="O77" s="5" t="s">
        <x:v>222</x:v>
      </x:c>
      <x:c r="P77" s="5">
        <x:v>40</x:v>
      </x:c>
      <x:c r="Q77" s="6">
        <x:v>5</x:v>
      </x:c>
      <x:c r="R77" s="6">
        <x:v>5</x:v>
      </x:c>
      <x:c r="S77" s="6">
        <x:v>5</x:v>
      </x:c>
      <x:c r="T77" s="6">
        <x:v>4</x:v>
      </x:c>
      <x:c r="U77" s="6">
        <x:v>5</x:v>
      </x:c>
      <x:c r="V77" s="9">
        <x:f t="shared" si="2"/>
        <x:v>4.8499999999999996</x:v>
      </x:c>
      <x:c r="W77" s="5" t="s">
        <x:v>790</x:v>
      </x:c>
    </x:row>
    <x:row r="78" ht="25.5">
      <x:c r="A78" s="5" t="s">
        <x:v>217</x:v>
      </x:c>
      <x:c r="B78" s="5" t="s">
        <x:v>209</x:v>
      </x:c>
      <x:c r="C78" s="5" t="s">
        <x:v>210</x:v>
      </x:c>
      <x:c r="D78" s="5" t="s">
        <x:v>218</x:v>
      </x:c>
      <x:c r="E78" s="5" t="s">
        <x:v>785</x:v>
      </x:c>
      <x:c r="F78" s="5" t="s">
        <x:v>791</x:v>
      </x:c>
      <x:c r="G78" s="5">
        <x:v>2</x:v>
      </x:c>
      <x:c r="H78" s="5" t="s">
        <x:v>279</x:v>
      </x:c>
      <x:c r="I78" s="5" t="s">
        <x:v>786</x:v>
      </x:c>
      <x:c r="J78" s="5" t="s">
        <x:v>213</x:v>
      </x:c>
      <x:c r="K78" s="5" t="s">
        <x:v>792</x:v>
      </x:c>
      <x:c r="L78" s="5" t="s">
        <x:v>793</x:v>
      </x:c>
      <x:c r="M78" s="5" t="s">
        <x:v>794</x:v>
      </x:c>
      <x:c r="N78" s="5" t="s">
        <x:v>795</x:v>
      </x:c>
      <x:c r="O78" s="5" t="s">
        <x:v>796</x:v>
      </x:c>
      <x:c r="P78" s="5">
        <x:v>40</x:v>
      </x:c>
      <x:c r="Q78" s="6">
        <x:v>4</x:v>
      </x:c>
      <x:c r="R78" s="6">
        <x:v>5</x:v>
      </x:c>
      <x:c r="S78" s="6">
        <x:v>5</x:v>
      </x:c>
      <x:c r="T78" s="6">
        <x:v>3</x:v>
      </x:c>
      <x:c r="U78" s="6">
        <x:v>5</x:v>
      </x:c>
      <x:c r="V78" s="9">
        <x:f t="shared" si="2"/>
        <x:v>4.4000000000000004</x:v>
      </x:c>
      <x:c r="W78" s="5" t="s">
        <x:v>797</x:v>
      </x:c>
    </x:row>
    <x:row r="79" ht="25.5">
      <x:c r="A79" s="5" t="s">
        <x:v>217</x:v>
      </x:c>
      <x:c r="B79" s="5" t="s">
        <x:v>209</x:v>
      </x:c>
      <x:c r="C79" s="5" t="s">
        <x:v>210</x:v>
      </x:c>
      <x:c r="D79" s="5" t="s">
        <x:v>218</x:v>
      </x:c>
      <x:c r="E79" s="5" t="s">
        <x:v>785</x:v>
      </x:c>
      <x:c r="F79" s="5" t="s">
        <x:v>798</x:v>
      </x:c>
      <x:c r="G79" s="5">
        <x:v>3</x:v>
      </x:c>
      <x:c r="H79" s="5" t="s">
        <x:v>248</x:v>
      </x:c>
      <x:c r="I79" s="5" t="s">
        <x:v>786</x:v>
      </x:c>
      <x:c r="J79" s="5" t="s">
        <x:v>92</x:v>
      </x:c>
      <x:c r="K79" s="5" t="s">
        <x:v>799</x:v>
      </x:c>
      <x:c r="L79" s="5" t="s">
        <x:v>800</x:v>
      </x:c>
      <x:c r="M79" s="5" t="s">
        <x:v>801</x:v>
      </x:c>
      <x:c r="N79" s="5" t="s">
        <x:v>802</x:v>
      </x:c>
      <x:c r="O79" s="5" t="s">
        <x:v>803</x:v>
      </x:c>
      <x:c r="P79" s="5">
        <x:v>40</x:v>
      </x:c>
      <x:c r="Q79" s="6">
        <x:v>4</x:v>
      </x:c>
      <x:c r="R79" s="6">
        <x:v>5</x:v>
      </x:c>
      <x:c r="S79" s="6">
        <x:v>5</x:v>
      </x:c>
      <x:c r="T79" s="6">
        <x:v>3</x:v>
      </x:c>
      <x:c r="U79" s="6">
        <x:v>5</x:v>
      </x:c>
      <x:c r="V79" s="9">
        <x:f t="shared" si="2"/>
        <x:v>4.4000000000000004</x:v>
      </x:c>
      <x:c r="W79" s="5" t="s">
        <x:v>804</x:v>
      </x:c>
    </x:row>
    <x:row r="80" ht="25.5">
      <x:c r="A80" s="5" t="s">
        <x:v>223</x:v>
      </x:c>
      <x:c r="B80" s="5" t="s">
        <x:v>209</x:v>
      </x:c>
      <x:c r="C80" s="5" t="s">
        <x:v>210</x:v>
      </x:c>
      <x:c r="D80" s="5" t="s">
        <x:v>224</x:v>
      </x:c>
      <x:c r="E80" s="5" t="s">
        <x:v>805</x:v>
      </x:c>
      <x:c r="F80" s="5" t="s">
        <x:v>225</x:v>
      </x:c>
      <x:c r="G80" s="5">
        <x:v>1</x:v>
      </x:c>
      <x:c r="H80" s="5" t="s">
        <x:v>248</x:v>
      </x:c>
      <x:c r="I80" s="5" t="s">
        <x:v>806</x:v>
      </x:c>
      <x:c r="J80" s="5" t="s">
        <x:v>226</x:v>
      </x:c>
      <x:c r="K80" s="5" t="s">
        <x:v>807</x:v>
      </x:c>
      <x:c r="L80" s="5" t="s">
        <x:v>227</x:v>
      </x:c>
      <x:c r="M80" s="5" t="s">
        <x:v>808</x:v>
      </x:c>
      <x:c r="N80" s="5" t="s">
        <x:v>809</x:v>
      </x:c>
      <x:c r="O80" s="5" t="s">
        <x:v>229</x:v>
      </x:c>
      <x:c r="P80" s="5">
        <x:v>40</x:v>
      </x:c>
      <x:c r="Q80" s="6">
        <x:v>5</x:v>
      </x:c>
      <x:c r="R80" s="6">
        <x:v>5</x:v>
      </x:c>
      <x:c r="S80" s="6">
        <x:v>5</x:v>
      </x:c>
      <x:c r="T80" s="6">
        <x:v>4</x:v>
      </x:c>
      <x:c r="U80" s="6">
        <x:v>5</x:v>
      </x:c>
      <x:c r="V80" s="9">
        <x:f t="shared" si="2"/>
        <x:v>4.8499999999999996</x:v>
      </x:c>
      <x:c r="W80" s="5" t="s">
        <x:v>810</x:v>
      </x:c>
    </x:row>
    <x:row r="81" ht="38.25">
      <x:c r="A81" s="5" t="s">
        <x:v>223</x:v>
      </x:c>
      <x:c r="B81" s="5" t="s">
        <x:v>209</x:v>
      </x:c>
      <x:c r="C81" s="5" t="s">
        <x:v>210</x:v>
      </x:c>
      <x:c r="D81" s="5" t="s">
        <x:v>224</x:v>
      </x:c>
      <x:c r="E81" s="5" t="s">
        <x:v>805</x:v>
      </x:c>
      <x:c r="F81" s="5" t="s">
        <x:v>811</x:v>
      </x:c>
      <x:c r="G81" s="5">
        <x:v>2</x:v>
      </x:c>
      <x:c r="H81" s="5" t="s">
        <x:v>319</x:v>
      </x:c>
      <x:c r="I81" s="5" t="s">
        <x:v>812</x:v>
      </x:c>
      <x:c r="J81" s="5" t="s">
        <x:v>178</x:v>
      </x:c>
      <x:c r="K81" s="5" t="s">
        <x:v>813</x:v>
      </x:c>
      <x:c r="L81" s="5" t="s">
        <x:v>814</x:v>
      </x:c>
      <x:c r="M81" s="5" t="s">
        <x:v>815</x:v>
      </x:c>
      <x:c r="N81" s="5" t="s">
        <x:v>816</x:v>
      </x:c>
      <x:c r="O81" s="5" t="s">
        <x:v>817</x:v>
      </x:c>
      <x:c r="P81" s="5">
        <x:v>40</x:v>
      </x:c>
      <x:c r="Q81" s="6">
        <x:v>4</x:v>
      </x:c>
      <x:c r="R81" s="6">
        <x:v>5</x:v>
      </x:c>
      <x:c r="S81" s="6">
        <x:v>5</x:v>
      </x:c>
      <x:c r="T81" s="6">
        <x:v>3</x:v>
      </x:c>
      <x:c r="U81" s="6">
        <x:v>5</x:v>
      </x:c>
      <x:c r="V81" s="9">
        <x:f t="shared" si="2"/>
        <x:v>4.4000000000000004</x:v>
      </x:c>
      <x:c r="W81" s="5" t="s">
        <x:v>818</x:v>
      </x:c>
    </x:row>
    <x:row r="82" ht="25.5">
      <x:c r="A82" s="5" t="s">
        <x:v>223</x:v>
      </x:c>
      <x:c r="B82" s="5" t="s">
        <x:v>209</x:v>
      </x:c>
      <x:c r="C82" s="5" t="s">
        <x:v>210</x:v>
      </x:c>
      <x:c r="D82" s="5" t="s">
        <x:v>224</x:v>
      </x:c>
      <x:c r="E82" s="5" t="s">
        <x:v>805</x:v>
      </x:c>
      <x:c r="F82" s="5" t="s">
        <x:v>819</x:v>
      </x:c>
      <x:c r="G82" s="5">
        <x:v>3</x:v>
      </x:c>
      <x:c r="H82" s="5" t="s">
        <x:v>248</x:v>
      </x:c>
      <x:c r="I82" s="5" t="s">
        <x:v>806</x:v>
      </x:c>
      <x:c r="J82" s="5" t="s">
        <x:v>92</x:v>
      </x:c>
      <x:c r="K82" s="5" t="s">
        <x:v>820</x:v>
      </x:c>
      <x:c r="L82" s="5" t="s">
        <x:v>227</x:v>
      </x:c>
      <x:c r="M82" s="5" t="s">
        <x:v>821</x:v>
      </x:c>
      <x:c r="N82" s="5" t="s">
        <x:v>822</x:v>
      </x:c>
      <x:c r="O82" s="5" t="s">
        <x:v>823</x:v>
      </x:c>
      <x:c r="P82" s="5">
        <x:v>40</x:v>
      </x:c>
      <x:c r="Q82" s="6">
        <x:v>4</x:v>
      </x:c>
      <x:c r="R82" s="6">
        <x:v>5</x:v>
      </x:c>
      <x:c r="S82" s="6">
        <x:v>5</x:v>
      </x:c>
      <x:c r="T82" s="6">
        <x:v>4</x:v>
      </x:c>
      <x:c r="U82" s="6">
        <x:v>4</x:v>
      </x:c>
      <x:c r="V82" s="9">
        <x:f t="shared" si="2"/>
        <x:v>4.4000000000000004</x:v>
      </x:c>
      <x:c r="W82" s="5" t="s">
        <x:v>824</x:v>
      </x:c>
    </x:row>
  </x:sheetData>
  <x:mergeCells>
    <x:mergeCell ref="A1:T1"/>
    <x:mergeCell ref="A2:T2"/>
  </x:mergeCells>
  <x:conditionalFormatting sqref="G5:G82">
    <x:cfRule type="cellIs" dxfId="0" priority="1" operator="equal">
      <x:formula>1</x:formula>
    </x:cfRule>
  </x:conditionalFormatting>
  <x:conditionalFormatting sqref="V5:V82">
    <x:cfRule type="colorScale" priority="2">
      <x:colorScale>
        <x:cfvo type="min"/>
        <x:cfvo type="percentile" val="50"/>
        <x:cfvo type="max"/>
        <x:color rgb="FFFDECEC"/>
        <x:color rgb="FFFFF4CC"/>
        <x:color rgb="FFDDF3E4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f8a6c2beb5342e0"/>
  </x:tableParts>
</x:worksheet>
</file>

<file path=xl/worksheets/sheet4.xml><?xml version="1.0" encoding="utf-8"?>
<x:worksheet xmlns:x="http://schemas.openxmlformats.org/spreadsheetml/2006/main">
  <x:sheetFormatPr defaultRowHeight="14.25"/>
  <x:cols>
    <x:col min="1" max="1" width="22" customWidth="1"/>
    <x:col min="2" max="2" width="40" customWidth="1"/>
    <x:col min="3" max="3" width="25" customWidth="1"/>
    <x:col min="4" max="6" width="22" customWidth="1"/>
    <x:col min="7" max="7" width="24" customWidth="1"/>
    <x:col min="8" max="8" width="25" customWidth="1"/>
    <x:col min="9" max="9" width="20" customWidth="1"/>
    <x:col min="10" max="10" width="28" customWidth="1"/>
    <x:col min="11" max="11" width="32" customWidth="1"/>
  </x:cols>
  <x:sheetData>
    <x:row r="1" ht="30" customHeight="1">
      <x:c r="A1" s="11" t="s">
        <x:v>825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</x:row>
    <x:row r="2" ht="33.95000076293945" customHeight="1">
      <x:c r="A2" s="14" t="s">
        <x:v>826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5.5">
      <x:c r="A4" s="2" t="s">
        <x:v>827</x:v>
      </x:c>
      <x:c r="B4" s="2" t="s">
        <x:v>828</x:v>
      </x:c>
      <x:c r="C4" s="2" t="s">
        <x:v>829</x:v>
      </x:c>
      <x:c r="D4" s="2" t="s">
        <x:v>830</x:v>
      </x:c>
      <x:c r="E4" s="2" t="s">
        <x:v>831</x:v>
      </x:c>
      <x:c r="F4" s="2" t="s">
        <x:v>832</x:v>
      </x:c>
      <x:c r="G4" s="2" t="s">
        <x:v>833</x:v>
      </x:c>
      <x:c r="H4" s="2" t="s">
        <x:v>834</x:v>
      </x:c>
      <x:c r="I4" s="2" t="s">
        <x:v>835</x:v>
      </x:c>
      <x:c r="J4" s="1"/>
      <x:c r="K4" s="1"/>
    </x:row>
    <x:row r="5" ht="76.5">
      <x:c r="A5" s="5" t="s">
        <x:v>836</x:v>
      </x:c>
      <x:c r="B5" s="5" t="s">
        <x:v>837</x:v>
      </x:c>
      <x:c r="C5" s="5" t="s">
        <x:v>838</x:v>
      </x:c>
      <x:c r="D5" s="5" t="s">
        <x:v>839</x:v>
      </x:c>
      <x:c r="E5" s="5" t="s">
        <x:v>840</x:v>
      </x:c>
      <x:c r="F5" s="5" t="s">
        <x:v>841</x:v>
      </x:c>
      <x:c r="G5" s="10">
        <x:v>5</x:v>
      </x:c>
      <x:c r="H5" s="5" t="s">
        <x:v>842</x:v>
      </x:c>
      <x:c r="I5" s="5" t="s">
        <x:v>843</x:v>
      </x:c>
      <x:c r="J5" s="1"/>
      <x:c r="K5" s="1"/>
    </x:row>
    <x:row r="6" ht="76.5">
      <x:c r="A6" s="5" t="s">
        <x:v>844</x:v>
      </x:c>
      <x:c r="B6" s="5" t="s">
        <x:v>845</x:v>
      </x:c>
      <x:c r="C6" s="5" t="s">
        <x:v>846</x:v>
      </x:c>
      <x:c r="D6" s="5" t="s">
        <x:v>847</x:v>
      </x:c>
      <x:c r="E6" s="5" t="s">
        <x:v>848</x:v>
      </x:c>
      <x:c r="F6" s="5" t="s">
        <x:v>849</x:v>
      </x:c>
      <x:c r="G6" s="10">
        <x:v>8</x:v>
      </x:c>
      <x:c r="H6" s="5" t="s">
        <x:v>850</x:v>
      </x:c>
      <x:c r="I6" s="5" t="s">
        <x:v>851</x:v>
      </x:c>
      <x:c r="J6" s="1"/>
      <x:c r="K6" s="1"/>
    </x:row>
    <x:row r="7" ht="76.5">
      <x:c r="A7" s="5" t="s">
        <x:v>852</x:v>
      </x:c>
      <x:c r="B7" s="5" t="s">
        <x:v>853</x:v>
      </x:c>
      <x:c r="C7" s="5" t="s">
        <x:v>854</x:v>
      </x:c>
      <x:c r="D7" s="5" t="s">
        <x:v>855</x:v>
      </x:c>
      <x:c r="E7" s="5" t="s">
        <x:v>856</x:v>
      </x:c>
      <x:c r="F7" s="5" t="s">
        <x:v>857</x:v>
      </x:c>
      <x:c r="G7" s="10">
        <x:v>5</x:v>
      </x:c>
      <x:c r="H7" s="5" t="s">
        <x:v>858</x:v>
      </x:c>
      <x:c r="I7" s="5" t="s">
        <x:v>859</x:v>
      </x:c>
      <x:c r="J7" s="1"/>
      <x:c r="K7" s="1"/>
    </x:row>
    <x:row r="8" ht="63.75">
      <x:c r="A8" s="5" t="s">
        <x:v>860</x:v>
      </x:c>
      <x:c r="B8" s="5" t="s">
        <x:v>861</x:v>
      </x:c>
      <x:c r="C8" s="5" t="s">
        <x:v>862</x:v>
      </x:c>
      <x:c r="D8" s="5" t="s">
        <x:v>863</x:v>
      </x:c>
      <x:c r="E8" s="5" t="s">
        <x:v>864</x:v>
      </x:c>
      <x:c r="F8" s="5" t="s">
        <x:v>865</x:v>
      </x:c>
      <x:c r="G8" s="10">
        <x:v>4.5</x:v>
      </x:c>
      <x:c r="H8" s="5" t="s">
        <x:v>866</x:v>
      </x:c>
      <x:c r="I8" s="5" t="s">
        <x:v>867</x:v>
      </x:c>
      <x:c r="J8" s="1"/>
      <x:c r="K8" s="1"/>
    </x:row>
    <x:row r="9" ht="63.75">
      <x:c r="A9" s="5" t="s">
        <x:v>868</x:v>
      </x:c>
      <x:c r="B9" s="5" t="s">
        <x:v>869</x:v>
      </x:c>
      <x:c r="C9" s="5" t="s">
        <x:v>870</x:v>
      </x:c>
      <x:c r="D9" s="5" t="s">
        <x:v>871</x:v>
      </x:c>
      <x:c r="E9" s="5" t="s">
        <x:v>872</x:v>
      </x:c>
      <x:c r="F9" s="5" t="s">
        <x:v>873</x:v>
      </x:c>
      <x:c r="G9" s="10">
        <x:v>2.8</x:v>
      </x:c>
      <x:c r="H9" s="5" t="s">
        <x:v>874</x:v>
      </x:c>
      <x:c r="I9" s="5" t="s">
        <x:v>875</x:v>
      </x:c>
      <x:c r="J9" s="1"/>
      <x:c r="K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>
      <x:c r="A12" s="15" t="s">
        <x:v>876</x:v>
      </x:c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</x:row>
    <x:row r="13">
      <x:c r="A13" s="2" t="s">
        <x:v>877</x:v>
      </x:c>
      <x:c r="B13" s="2" t="s">
        <x:v>878</x:v>
      </x:c>
      <x:c r="C13" s="2" t="s">
        <x:v>879</x:v>
      </x:c>
      <x:c r="D13" s="2" t="s">
        <x:v>880</x:v>
      </x:c>
      <x:c r="E13" s="2" t="s">
        <x:v>881</x:v>
      </x:c>
      <x:c r="F13" s="2" t="s">
        <x:v>882</x:v>
      </x:c>
      <x:c r="G13" s="2" t="s">
        <x:v>883</x:v>
      </x:c>
      <x:c r="H13" s="2" t="s">
        <x:v>884</x:v>
      </x:c>
      <x:c r="I13" s="2" t="s">
        <x:v>885</x:v>
      </x:c>
      <x:c r="J13" s="2" t="s">
        <x:v>886</x:v>
      </x:c>
      <x:c r="K13" s="2" t="s">
        <x:v>887</x:v>
      </x:c>
    </x:row>
    <x:row r="14">
      <x:c r="A14" s="5">
        <x:v>1</x:v>
      </x:c>
      <x:c r="B14" s="5" t="s">
        <x:v>888</x:v>
      </x:c>
      <x:c r="C14" s="5"/>
      <x:c r="D14" s="5"/>
      <x:c r="E14" s="5"/>
      <x:c r="F14" s="5"/>
      <x:c r="G14" s="5"/>
      <x:c r="H14" s="5"/>
      <x:c r="I14" s="5" t="s">
        <x:v>889</x:v>
      </x:c>
      <x:c r="J14" s="5"/>
      <x:c r="K14" s="5" t="s">
        <x:v>890</x:v>
      </x:c>
    </x:row>
    <x:row r="15">
      <x:c r="A15" s="5">
        <x:v>2</x:v>
      </x:c>
      <x:c r="B15" s="5" t="s">
        <x:v>891</x:v>
      </x:c>
      <x:c r="C15" s="5" t="s">
        <x:v>892</x:v>
      </x:c>
      <x:c r="D15" s="5"/>
      <x:c r="E15" s="5"/>
      <x:c r="F15" s="5"/>
      <x:c r="G15" s="5"/>
      <x:c r="H15" s="5"/>
      <x:c r="I15" s="5" t="s">
        <x:v>893</x:v>
      </x:c>
      <x:c r="J15" s="5" t="s">
        <x:v>894</x:v>
      </x:c>
      <x:c r="K15" s="5" t="s">
        <x:v>895</x:v>
      </x:c>
    </x:row>
    <x:row r="16">
      <x:c r="A16" s="5">
        <x:v>3</x:v>
      </x:c>
      <x:c r="B16" s="5" t="s">
        <x:v>896</x:v>
      </x:c>
      <x:c r="C16" s="5"/>
      <x:c r="D16" s="5" t="s">
        <x:v>897</x:v>
      </x:c>
      <x:c r="E16" s="5"/>
      <x:c r="F16" s="5"/>
      <x:c r="G16" s="5"/>
      <x:c r="H16" s="5"/>
      <x:c r="I16" s="5" t="s">
        <x:v>893</x:v>
      </x:c>
      <x:c r="J16" s="5" t="s">
        <x:v>898</x:v>
      </x:c>
      <x:c r="K16" s="5" t="s">
        <x:v>899</x:v>
      </x:c>
    </x:row>
    <x:row r="17">
      <x:c r="A17" s="5">
        <x:v>4</x:v>
      </x:c>
      <x:c r="B17" s="5" t="s">
        <x:v>900</x:v>
      </x:c>
      <x:c r="C17" s="5"/>
      <x:c r="D17" s="5"/>
      <x:c r="E17" s="5" t="s">
        <x:v>901</x:v>
      </x:c>
      <x:c r="F17" s="5" t="s">
        <x:v>902</x:v>
      </x:c>
      <x:c r="G17" s="5"/>
      <x:c r="H17" s="5"/>
      <x:c r="I17" s="5" t="s">
        <x:v>903</x:v>
      </x:c>
      <x:c r="J17" s="5" t="s">
        <x:v>904</x:v>
      </x:c>
      <x:c r="K17" s="5" t="s">
        <x:v>905</x:v>
      </x:c>
    </x:row>
    <x:row r="18">
      <x:c r="A18" s="5">
        <x:v>5</x:v>
      </x:c>
      <x:c r="B18" s="5" t="s">
        <x:v>906</x:v>
      </x:c>
      <x:c r="C18" s="5"/>
      <x:c r="D18" s="5"/>
      <x:c r="E18" s="5"/>
      <x:c r="F18" s="5"/>
      <x:c r="G18" s="5" t="s">
        <x:v>907</x:v>
      </x:c>
      <x:c r="H18" s="5"/>
      <x:c r="I18" s="5" t="s">
        <x:v>908</x:v>
      </x:c>
      <x:c r="J18" s="5" t="s">
        <x:v>909</x:v>
      </x:c>
      <x:c r="K18" s="5" t="s">
        <x:v>910</x:v>
      </x:c>
    </x:row>
    <x:row r="19">
      <x:c r="A19" s="1">
        <x:v>6</x:v>
      </x:c>
      <x:c r="B19" s="1" t="s">
        <x:v>911</x:v>
      </x:c>
      <x:c r="C19" s="1"/>
      <x:c r="D19" s="1"/>
      <x:c r="E19" s="1"/>
      <x:c r="F19" s="1"/>
      <x:c r="G19" s="1"/>
      <x:c r="H19" s="1" t="s">
        <x:v>912</x:v>
      </x:c>
      <x:c r="I19" s="1" t="s">
        <x:v>908</x:v>
      </x:c>
      <x:c r="J19" s="1" t="s">
        <x:v>913</x:v>
      </x:c>
      <x:c r="K19" s="1" t="s">
        <x:v>914</x:v>
      </x:c>
    </x:row>
  </x:sheetData>
  <x:mergeCells>
    <x:mergeCell ref="A1:K1"/>
    <x:mergeCell ref="A2:K2"/>
    <x:mergeCell ref="A12:K12"/>
  </x:mergeCells>
  <x:pageMargins left="0.7" right="0.7" top="0.75" bottom="0.75" header="0.3" footer="0.3"/>
  <x:tableParts count="1">
    <x:tablePart xmlns:r="http://schemas.openxmlformats.org/officeDocument/2006/relationships" r:id="Re4ee212379444af1"/>
  </x:tableParts>
</x:worksheet>
</file>

<file path=xl/worksheets/sheet5.xml><?xml version="1.0" encoding="utf-8"?>
<x:worksheet xmlns:x="http://schemas.openxmlformats.org/spreadsheetml/2006/main">
  <x:sheetFormatPr defaultRowHeight="14.25"/>
  <x:cols>
    <x:col min="1" max="1" width="24" customWidth="1"/>
    <x:col min="2" max="2" width="46" customWidth="1"/>
    <x:col min="3" max="3" width="52" customWidth="1"/>
    <x:col min="4" max="4" width="44" customWidth="1"/>
    <x:col min="5" max="5" width="26" customWidth="1"/>
    <x:col min="6" max="6" width="50" customWidth="1"/>
  </x:cols>
  <x:sheetData>
    <x:row r="1" ht="30" customHeight="1">
      <x:c r="A1" s="11" t="s">
        <x:v>915</x:v>
      </x:c>
      <x:c r="B1" s="12"/>
      <x:c r="C1" s="12"/>
      <x:c r="D1" s="12"/>
      <x:c r="E1" s="12"/>
      <x:c r="F1" s="12"/>
      <x:c r="G1" s="13"/>
      <x:c r="H1" s="13"/>
      <x:c r="I1" s="13"/>
      <x:c r="J1" s="13"/>
    </x:row>
    <x:row r="2" ht="33.95000076293945" customHeight="1">
      <x:c r="A2" s="14" t="s">
        <x:v>916</x:v>
      </x:c>
      <x:c r="B2" s="12"/>
      <x:c r="C2" s="12"/>
      <x:c r="D2" s="12"/>
      <x:c r="E2" s="12"/>
      <x:c r="F2" s="12"/>
      <x:c r="G2" s="13"/>
      <x:c r="H2" s="13"/>
      <x:c r="I2" s="13"/>
      <x:c r="J2" s="13"/>
    </x:row>
    <x:row r="3">
      <x:c r="A3" s="1"/>
      <x:c r="B3" s="1"/>
      <x:c r="C3" s="1"/>
      <x:c r="D3" s="1"/>
      <x:c r="E3" s="1"/>
      <x:c r="F3" s="1"/>
    </x:row>
    <x:row r="4">
      <x:c r="A4" s="2" t="s">
        <x:v>917</x:v>
      </x:c>
      <x:c r="B4" s="2" t="s">
        <x:v>918</x:v>
      </x:c>
      <x:c r="C4" s="2" t="s">
        <x:v>919</x:v>
      </x:c>
      <x:c r="D4" s="2" t="s">
        <x:v>920</x:v>
      </x:c>
      <x:c r="E4" s="2" t="s">
        <x:v>921</x:v>
      </x:c>
      <x:c r="F4" s="2" t="s">
        <x:v>922</x:v>
      </x:c>
    </x:row>
    <x:row r="5" ht="25.5">
      <x:c r="A5" s="5" t="s">
        <x:v>923</x:v>
      </x:c>
      <x:c r="B5" s="5" t="s">
        <x:v>924</x:v>
      </x:c>
      <x:c r="C5" s="5" t="s">
        <x:v>925</x:v>
      </x:c>
      <x:c r="D5" s="5" t="s">
        <x:v>926</x:v>
      </x:c>
      <x:c r="E5" s="5" t="s">
        <x:v>927</x:v>
      </x:c>
      <x:c r="F5" s="5" t="s">
        <x:v>928</x:v>
      </x:c>
    </x:row>
    <x:row r="6" ht="25.5">
      <x:c r="A6" s="5" t="s">
        <x:v>929</x:v>
      </x:c>
      <x:c r="B6" s="5" t="s">
        <x:v>930</x:v>
      </x:c>
      <x:c r="C6" s="5" t="s">
        <x:v>931</x:v>
      </x:c>
      <x:c r="D6" s="5" t="s">
        <x:v>932</x:v>
      </x:c>
      <x:c r="E6" s="5" t="s">
        <x:v>933</x:v>
      </x:c>
      <x:c r="F6" s="5" t="s">
        <x:v>934</x:v>
      </x:c>
    </x:row>
    <x:row r="7" ht="25.5">
      <x:c r="A7" s="5" t="s">
        <x:v>935</x:v>
      </x:c>
      <x:c r="B7" s="5" t="s">
        <x:v>936</x:v>
      </x:c>
      <x:c r="C7" s="5" t="s">
        <x:v>937</x:v>
      </x:c>
      <x:c r="D7" s="5" t="s">
        <x:v>938</x:v>
      </x:c>
      <x:c r="E7" s="5" t="s">
        <x:v>939</x:v>
      </x:c>
      <x:c r="F7" s="5" t="s">
        <x:v>940</x:v>
      </x:c>
    </x:row>
    <x:row r="8" ht="25.5">
      <x:c r="A8" s="5" t="s">
        <x:v>941</x:v>
      </x:c>
      <x:c r="B8" s="5" t="s">
        <x:v>942</x:v>
      </x:c>
      <x:c r="C8" s="5" t="s">
        <x:v>943</x:v>
      </x:c>
      <x:c r="D8" s="5" t="s">
        <x:v>944</x:v>
      </x:c>
      <x:c r="E8" s="5" t="s">
        <x:v>126</x:v>
      </x:c>
      <x:c r="F8" s="5" t="s">
        <x:v>945</x:v>
      </x:c>
    </x:row>
    <x:row r="9" ht="25.5">
      <x:c r="A9" s="5" t="s">
        <x:v>946</x:v>
      </x:c>
      <x:c r="B9" s="5" t="s">
        <x:v>947</x:v>
      </x:c>
      <x:c r="C9" s="5" t="s">
        <x:v>948</x:v>
      </x:c>
      <x:c r="D9" s="5" t="s">
        <x:v>949</x:v>
      </x:c>
      <x:c r="E9" s="5" t="s">
        <x:v>950</x:v>
      </x:c>
      <x:c r="F9" s="5" t="s">
        <x:v>951</x:v>
      </x:c>
    </x:row>
    <x:row r="10" ht="25.5">
      <x:c r="A10" s="5" t="s">
        <x:v>952</x:v>
      </x:c>
      <x:c r="B10" s="5" t="s">
        <x:v>953</x:v>
      </x:c>
      <x:c r="C10" s="5" t="s">
        <x:v>954</x:v>
      </x:c>
      <x:c r="D10" s="5" t="s">
        <x:v>955</x:v>
      </x:c>
      <x:c r="E10" s="5" t="s">
        <x:v>956</x:v>
      </x:c>
      <x:c r="F10" s="5" t="s">
        <x:v>957</x:v>
      </x:c>
    </x:row>
    <x:row r="11" ht="25.5">
      <x:c r="A11" s="5" t="s">
        <x:v>958</x:v>
      </x:c>
      <x:c r="B11" s="5" t="s">
        <x:v>959</x:v>
      </x:c>
      <x:c r="C11" s="5" t="s">
        <x:v>960</x:v>
      </x:c>
      <x:c r="D11" s="5" t="s">
        <x:v>961</x:v>
      </x:c>
      <x:c r="E11" s="5" t="s">
        <x:v>962</x:v>
      </x:c>
      <x:c r="F11" s="5" t="s">
        <x:v>963</x:v>
      </x:c>
    </x:row>
    <x:row r="12" ht="25.5">
      <x:c r="A12" s="5" t="s">
        <x:v>964</x:v>
      </x:c>
      <x:c r="B12" s="5" t="s">
        <x:v>965</x:v>
      </x:c>
      <x:c r="C12" s="5" t="s">
        <x:v>966</x:v>
      </x:c>
      <x:c r="D12" s="5" t="s">
        <x:v>967</x:v>
      </x:c>
      <x:c r="E12" s="5" t="s">
        <x:v>968</x:v>
      </x:c>
      <x:c r="F12" s="5" t="s">
        <x:v>969</x:v>
      </x:c>
    </x:row>
    <x:row r="13" ht="25.5">
      <x:c r="A13" s="5" t="s">
        <x:v>970</x:v>
      </x:c>
      <x:c r="B13" s="5" t="s">
        <x:v>971</x:v>
      </x:c>
      <x:c r="C13" s="5" t="s">
        <x:v>972</x:v>
      </x:c>
      <x:c r="D13" s="5" t="s">
        <x:v>973</x:v>
      </x:c>
      <x:c r="E13" s="5" t="s">
        <x:v>974</x:v>
      </x:c>
      <x:c r="F13" s="5" t="s">
        <x:v>975</x:v>
      </x:c>
    </x:row>
    <x:row r="14" ht="25.5">
      <x:c r="A14" s="5" t="s">
        <x:v>976</x:v>
      </x:c>
      <x:c r="B14" s="5" t="s">
        <x:v>977</x:v>
      </x:c>
      <x:c r="C14" s="5" t="s">
        <x:v>978</x:v>
      </x:c>
      <x:c r="D14" s="5" t="s">
        <x:v>979</x:v>
      </x:c>
      <x:c r="E14" s="5" t="s">
        <x:v>104</x:v>
      </x:c>
      <x:c r="F14" s="5" t="s">
        <x:v>980</x:v>
      </x:c>
    </x:row>
    <x:row r="15" ht="25.5">
      <x:c r="A15" s="5" t="s">
        <x:v>981</x:v>
      </x:c>
      <x:c r="B15" s="5" t="s">
        <x:v>982</x:v>
      </x:c>
      <x:c r="C15" s="5" t="s">
        <x:v>983</x:v>
      </x:c>
      <x:c r="D15" s="5" t="s">
        <x:v>984</x:v>
      </x:c>
      <x:c r="E15" s="5" t="s">
        <x:v>985</x:v>
      </x:c>
      <x:c r="F15" s="5" t="s">
        <x:v>986</x:v>
      </x:c>
    </x:row>
    <x:row r="16" ht="25.5">
      <x:c r="A16" s="5" t="s">
        <x:v>987</x:v>
      </x:c>
      <x:c r="B16" s="5" t="s">
        <x:v>988</x:v>
      </x:c>
      <x:c r="C16" s="5" t="s">
        <x:v>989</x:v>
      </x:c>
      <x:c r="D16" s="5" t="s">
        <x:v>990</x:v>
      </x:c>
      <x:c r="E16" s="5" t="s">
        <x:v>991</x:v>
      </x:c>
      <x:c r="F16" s="5" t="s">
        <x:v>992</x:v>
      </x:c>
    </x:row>
    <x:row r="17" ht="25.5">
      <x:c r="A17" s="5" t="s">
        <x:v>993</x:v>
      </x:c>
      <x:c r="B17" s="5" t="s">
        <x:v>994</x:v>
      </x:c>
      <x:c r="C17" s="5" t="s">
        <x:v>995</x:v>
      </x:c>
      <x:c r="D17" s="5" t="s">
        <x:v>996</x:v>
      </x:c>
      <x:c r="E17" s="5" t="s">
        <x:v>997</x:v>
      </x:c>
      <x:c r="F17" s="5" t="s">
        <x:v>998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3f847b7fada449df"/>
  </x:tableParts>
</x:worksheet>
</file>

<file path=xl/worksheets/sheet6.xml><?xml version="1.0" encoding="utf-8"?>
<x:worksheet xmlns:x="http://schemas.openxmlformats.org/spreadsheetml/2006/main">
  <x:sheetFormatPr defaultRowHeight="14.25"/>
  <x:cols>
    <x:col min="1" max="1" width="27" customWidth="1"/>
    <x:col min="2" max="2" width="55" customWidth="1"/>
    <x:col min="3" max="3" width="50" customWidth="1"/>
    <x:col min="4" max="5" width="45" customWidth="1"/>
    <x:col min="6" max="6" width="23" customWidth="1"/>
  </x:cols>
  <x:sheetData>
    <x:row r="1" ht="30" customHeight="1">
      <x:c r="A1" s="11" t="s">
        <x:v>999</x:v>
      </x:c>
      <x:c r="B1" s="12"/>
      <x:c r="C1" s="12"/>
      <x:c r="D1" s="12"/>
      <x:c r="E1" s="12"/>
      <x:c r="F1" s="12"/>
      <x:c r="G1" s="13"/>
    </x:row>
    <x:row r="2" ht="33.95000076293945" customHeight="1">
      <x:c r="A2" s="14" t="s">
        <x:v>1000</x:v>
      </x:c>
      <x:c r="B2" s="12"/>
      <x:c r="C2" s="12"/>
      <x:c r="D2" s="12"/>
      <x:c r="E2" s="12"/>
      <x:c r="F2" s="12"/>
      <x:c r="G2" s="13"/>
    </x:row>
    <x:row r="3">
      <x:c r="A3" s="1"/>
      <x:c r="B3" s="1"/>
      <x:c r="C3" s="1"/>
      <x:c r="D3" s="1"/>
      <x:c r="E3" s="1"/>
      <x:c r="F3" s="1"/>
    </x:row>
    <x:row r="4">
      <x:c r="A4" s="2" t="s">
        <x:v>1001</x:v>
      </x:c>
      <x:c r="B4" s="2" t="s">
        <x:v>1002</x:v>
      </x:c>
      <x:c r="C4" s="2" t="s">
        <x:v>1003</x:v>
      </x:c>
      <x:c r="D4" s="2" t="s">
        <x:v>1004</x:v>
      </x:c>
      <x:c r="E4" s="2" t="s">
        <x:v>1005</x:v>
      </x:c>
      <x:c r="F4" s="2" t="s">
        <x:v>1006</x:v>
      </x:c>
    </x:row>
    <x:row r="5" ht="25.5">
      <x:c r="A5" s="5" t="s">
        <x:v>1007</x:v>
      </x:c>
      <x:c r="B5" s="5" t="s">
        <x:v>1008</x:v>
      </x:c>
      <x:c r="C5" s="5" t="s">
        <x:v>1009</x:v>
      </x:c>
      <x:c r="D5" s="5" t="s">
        <x:v>1010</x:v>
      </x:c>
      <x:c r="E5" s="5" t="s">
        <x:v>1011</x:v>
      </x:c>
      <x:c r="F5" s="5" t="s">
        <x:v>1012</x:v>
      </x:c>
    </x:row>
    <x:row r="6" ht="25.5">
      <x:c r="A6" s="5" t="s">
        <x:v>1013</x:v>
      </x:c>
      <x:c r="B6" s="5" t="s">
        <x:v>1014</x:v>
      </x:c>
      <x:c r="C6" s="5" t="s">
        <x:v>1015</x:v>
      </x:c>
      <x:c r="D6" s="5" t="s">
        <x:v>1016</x:v>
      </x:c>
      <x:c r="E6" s="5" t="s">
        <x:v>1017</x:v>
      </x:c>
      <x:c r="F6" s="5" t="s">
        <x:v>1018</x:v>
      </x:c>
    </x:row>
    <x:row r="7" ht="38.25">
      <x:c r="A7" s="5" t="s">
        <x:v>1019</x:v>
      </x:c>
      <x:c r="B7" s="5" t="s">
        <x:v>1020</x:v>
      </x:c>
      <x:c r="C7" s="5" t="s">
        <x:v>1021</x:v>
      </x:c>
      <x:c r="D7" s="5" t="s">
        <x:v>1022</x:v>
      </x:c>
      <x:c r="E7" s="5" t="s">
        <x:v>1023</x:v>
      </x:c>
      <x:c r="F7" s="5" t="s">
        <x:v>1024</x:v>
      </x:c>
    </x:row>
    <x:row r="8" ht="25.5">
      <x:c r="A8" s="5" t="s">
        <x:v>1025</x:v>
      </x:c>
      <x:c r="B8" s="5" t="s">
        <x:v>1026</x:v>
      </x:c>
      <x:c r="C8" s="5" t="s">
        <x:v>1027</x:v>
      </x:c>
      <x:c r="D8" s="5" t="s">
        <x:v>1028</x:v>
      </x:c>
      <x:c r="E8" s="5" t="s">
        <x:v>1029</x:v>
      </x:c>
      <x:c r="F8" s="5" t="s">
        <x:v>1030</x:v>
      </x:c>
    </x:row>
    <x:row r="9" ht="25.5">
      <x:c r="A9" s="5" t="s">
        <x:v>1031</x:v>
      </x:c>
      <x:c r="B9" s="5" t="s">
        <x:v>1032</x:v>
      </x:c>
      <x:c r="C9" s="5" t="s">
        <x:v>1033</x:v>
      </x:c>
      <x:c r="D9" s="5" t="s">
        <x:v>1034</x:v>
      </x:c>
      <x:c r="E9" s="5" t="s">
        <x:v>1035</x:v>
      </x:c>
      <x:c r="F9" s="5" t="s">
        <x:v>1036</x:v>
      </x:c>
    </x:row>
    <x:row r="10" ht="25.5">
      <x:c r="A10" s="5" t="s">
        <x:v>1037</x:v>
      </x:c>
      <x:c r="B10" s="5" t="s">
        <x:v>1038</x:v>
      </x:c>
      <x:c r="C10" s="5" t="s">
        <x:v>1039</x:v>
      </x:c>
      <x:c r="D10" s="5" t="s">
        <x:v>1040</x:v>
      </x:c>
      <x:c r="E10" s="5" t="s">
        <x:v>1041</x:v>
      </x:c>
      <x:c r="F10" s="5" t="s">
        <x:v>1024</x:v>
      </x:c>
    </x:row>
    <x:row r="11" ht="25.5">
      <x:c r="A11" s="5" t="s">
        <x:v>1042</x:v>
      </x:c>
      <x:c r="B11" s="5" t="s">
        <x:v>1043</x:v>
      </x:c>
      <x:c r="C11" s="5" t="s">
        <x:v>1044</x:v>
      </x:c>
      <x:c r="D11" s="5" t="s">
        <x:v>1045</x:v>
      </x:c>
      <x:c r="E11" s="5" t="s">
        <x:v>1046</x:v>
      </x:c>
      <x:c r="F11" s="5" t="s">
        <x:v>1047</x:v>
      </x:c>
    </x:row>
    <x:row r="12" ht="25.5">
      <x:c r="A12" s="5" t="s">
        <x:v>1048</x:v>
      </x:c>
      <x:c r="B12" s="5" t="s">
        <x:v>1049</x:v>
      </x:c>
      <x:c r="C12" s="5" t="s">
        <x:v>1050</x:v>
      </x:c>
      <x:c r="D12" s="5" t="s">
        <x:v>1051</x:v>
      </x:c>
      <x:c r="E12" s="5" t="s">
        <x:v>1052</x:v>
      </x:c>
      <x:c r="F12" s="5" t="s">
        <x:v>1053</x:v>
      </x:c>
    </x:row>
    <x:row r="13" ht="25.5">
      <x:c r="A13" s="5" t="s">
        <x:v>1054</x:v>
      </x:c>
      <x:c r="B13" s="5" t="s">
        <x:v>1055</x:v>
      </x:c>
      <x:c r="C13" s="5" t="s">
        <x:v>1056</x:v>
      </x:c>
      <x:c r="D13" s="5" t="s">
        <x:v>1057</x:v>
      </x:c>
      <x:c r="E13" s="5" t="s">
        <x:v>1058</x:v>
      </x:c>
      <x:c r="F13" s="5" t="s">
        <x:v>1059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56145be731e4435"/>
  </x:tableParts>
</x:worksheet>
</file>

<file path=xl/worksheets/sheet7.xml><?xml version="1.0" encoding="utf-8"?>
<x:worksheet xmlns:x="http://schemas.openxmlformats.org/spreadsheetml/2006/main">
  <x:sheetFormatPr defaultRowHeight="14.25"/>
  <x:cols>
    <x:col min="1" max="1" width="9" customWidth="1"/>
    <x:col min="2" max="2" width="26" customWidth="1"/>
    <x:col min="3" max="3" width="46" customWidth="1"/>
    <x:col min="4" max="4" width="20" customWidth="1"/>
    <x:col min="5" max="5" width="90" customWidth="1"/>
  </x:cols>
  <x:sheetData>
    <x:row r="1" ht="30" customHeight="1">
      <x:c r="A1" s="11" t="s">
        <x:v>1060</x:v>
      </x:c>
      <x:c r="B1" s="12"/>
      <x:c r="C1" s="12"/>
      <x:c r="D1" s="12"/>
      <x:c r="E1" s="12"/>
      <x:c r="F1" s="13"/>
    </x:row>
    <x:row r="2" ht="33.95000076293945" customHeight="1">
      <x:c r="A2" s="14" t="s">
        <x:v>1061</x:v>
      </x:c>
      <x:c r="B2" s="12"/>
      <x:c r="C2" s="12"/>
      <x:c r="D2" s="12"/>
      <x:c r="E2" s="12"/>
      <x:c r="F2" s="13"/>
    </x:row>
    <x:row r="3">
      <x:c r="A3" s="1"/>
      <x:c r="B3" s="1"/>
      <x:c r="C3" s="1"/>
      <x:c r="D3" s="1"/>
      <x:c r="E3" s="1"/>
    </x:row>
    <x:row r="4">
      <x:c r="A4" s="2" t="s">
        <x:v>22</x:v>
      </x:c>
      <x:c r="B4" s="2" t="s">
        <x:v>1062</x:v>
      </x:c>
      <x:c r="C4" s="2" t="s">
        <x:v>1063</x:v>
      </x:c>
      <x:c r="D4" s="2" t="s">
        <x:v>1064</x:v>
      </x:c>
      <x:c r="E4" s="2" t="s">
        <x:v>1065</x:v>
      </x:c>
    </x:row>
    <x:row r="5" ht="25.5">
      <x:c r="A5" s="5" t="s">
        <x:v>1066</x:v>
      </x:c>
      <x:c r="B5" s="5" t="s">
        <x:v>1067</x:v>
      </x:c>
      <x:c r="C5" s="5" t="s">
        <x:v>1068</x:v>
      </x:c>
      <x:c r="D5" s="5" t="e">
        <x:f>HYPERLINK("https://pmc.ncbi.nlm.nih.gov/articles/PMC6498139/","Open source")</x:f>
        <x:v>HYPERLINK is not implemented. linkLocation=https://pmc.ncbi.nlm.nih.gov/articles/PMC6498139/, friendlyName=Open source</x:v>
      </x:c>
      <x:c r="E5" s="5" t="s">
        <x:v>1069</x:v>
      </x:c>
    </x:row>
    <x:row r="6">
      <x:c r="A6" s="5" t="s">
        <x:v>1070</x:v>
      </x:c>
      <x:c r="B6" s="5" t="s">
        <x:v>1071</x:v>
      </x:c>
      <x:c r="C6" s="5" t="s">
        <x:v>1072</x:v>
      </x:c>
      <x:c r="D6" s="5" t="e">
        <x:f>HYPERLINK("https://myweb.fsu.edu/vshute/pdf/IJT.pdf","Open source")</x:f>
        <x:v>HYPERLINK is not implemented. linkLocation=https://myweb.fsu.edu/vshute/pdf/IJT.pdf, friendlyName=Open source</x:v>
      </x:c>
      <x:c r="E6" s="5" t="s">
        <x:v>1073</x:v>
      </x:c>
    </x:row>
    <x:row r="7">
      <x:c r="A7" s="5" t="s">
        <x:v>1074</x:v>
      </x:c>
      <x:c r="B7" s="5" t="s">
        <x:v>1075</x:v>
      </x:c>
      <x:c r="C7" s="5" t="s">
        <x:v>1076</x:v>
      </x:c>
      <x:c r="D7" s="5" t="e">
        <x:f>HYPERLINK("https://pmc.ncbi.nlm.nih.gov/articles/PMC9554090/","Open source")</x:f>
        <x:v>HYPERLINK is not implemented. linkLocation=https://pmc.ncbi.nlm.nih.gov/articles/PMC9554090/, friendlyName=Open source</x:v>
      </x:c>
      <x:c r="E7" s="5" t="s">
        <x:v>1077</x:v>
      </x:c>
    </x:row>
    <x:row r="8">
      <x:c r="A8" s="5" t="s">
        <x:v>1078</x:v>
      </x:c>
      <x:c r="B8" s="5" t="s">
        <x:v>1079</x:v>
      </x:c>
      <x:c r="C8" s="5" t="s">
        <x:v>1080</x:v>
      </x:c>
      <x:c r="D8" s="5" t="e">
        <x:f>HYPERLINK("https://pmc.ncbi.nlm.nih.gov/articles/PMC9047109/","Open source")</x:f>
        <x:v>HYPERLINK is not implemented. linkLocation=https://pmc.ncbi.nlm.nih.gov/articles/PMC9047109/, friendlyName=Open source</x:v>
      </x:c>
      <x:c r="E8" s="5" t="s">
        <x:v>1081</x:v>
      </x:c>
    </x:row>
    <x:row r="9">
      <x:c r="A9" s="5" t="s">
        <x:v>1082</x:v>
      </x:c>
      <x:c r="B9" s="5" t="s">
        <x:v>1083</x:v>
      </x:c>
      <x:c r="C9" s="5" t="s">
        <x:v>1084</x:v>
      </x:c>
      <x:c r="D9" s="5" t="e">
        <x:f>HYPERLINK("https://www.annualreviews.org/doi/10.1146/annurev-orgpsych-012420-062228","Open source")</x:f>
        <x:v>HYPERLINK is not implemented. linkLocation=https://www.annualreviews.org/doi/10.1146/annurev-orgpsych-012420-062228, friendlyName=Open source</x:v>
      </x:c>
      <x:c r="E9" s="5" t="s">
        <x:v>1085</x:v>
      </x:c>
    </x:row>
    <x:row r="10" ht="25.5">
      <x:c r="A10" s="5" t="s">
        <x:v>1086</x:v>
      </x:c>
      <x:c r="B10" s="5" t="s">
        <x:v>1087</x:v>
      </x:c>
      <x:c r="C10" s="5" t="s">
        <x:v>1088</x:v>
      </x:c>
      <x:c r="D10" s="5" t="e">
        <x:f>HYPERLINK("https://ink.library.smu.edu.sg/cgi/viewcontent.cgi?article=6802&amp;context=lkcsb_research","Open source")</x:f>
        <x:v>HYPERLINK is not implemented. linkLocation=https://ink.library.smu.edu.sg/cgi/viewcontent.cgi?article=6802&amp;context=lkcsb_research, friendlyName=Open source</x:v>
      </x:c>
      <x:c r="E10" s="5" t="s">
        <x:v>1089</x:v>
      </x:c>
    </x:row>
    <x:row r="11">
      <x:c r="A11" s="5" t="s">
        <x:v>1090</x:v>
      </x:c>
      <x:c r="B11" s="5" t="s">
        <x:v>1091</x:v>
      </x:c>
      <x:c r="C11" s="5" t="s">
        <x:v>1092</x:v>
      </x:c>
      <x:c r="D11" s="5" t="e">
        <x:f>HYPERLINK("https://pubmed.ncbi.nlm.nih.gov/28497598/","Open source")</x:f>
        <x:v>HYPERLINK is not implemented. linkLocation=https://pubmed.ncbi.nlm.nih.gov/28497598/, friendlyName=Open source</x:v>
      </x:c>
      <x:c r="E11" s="5" t="s">
        <x:v>1093</x:v>
      </x:c>
    </x:row>
    <x:row r="12">
      <x:c r="A12" s="5" t="s">
        <x:v>1094</x:v>
      </x:c>
      <x:c r="B12" s="5" t="s">
        <x:v>1095</x:v>
      </x:c>
      <x:c r="C12" s="5" t="s">
        <x:v>1096</x:v>
      </x:c>
      <x:c r="D12" s="5" t="e">
        <x:f>HYPERLINK("https://pmc.ncbi.nlm.nih.gov/articles/PMC5591856/","Open source")</x:f>
        <x:v>HYPERLINK is not implemented. linkLocation=https://pmc.ncbi.nlm.nih.gov/articles/PMC5591856/, friendlyName=Open source</x:v>
      </x:c>
      <x:c r="E12" s="5" t="s">
        <x:v>1097</x:v>
      </x:c>
    </x:row>
    <x:row r="13">
      <x:c r="A13" s="5" t="s">
        <x:v>1098</x:v>
      </x:c>
      <x:c r="B13" s="5" t="s">
        <x:v>1099</x:v>
      </x:c>
      <x:c r="C13" s="5" t="s">
        <x:v>1100</x:v>
      </x:c>
      <x:c r="D13" s="5" t="e">
        <x:f>HYPERLINK("https://onlinelibrary.wiley.com/doi/10.1111/j.1744-6570.2005.00714.x","Open source")</x:f>
        <x:v>HYPERLINK is not implemented. linkLocation=https://onlinelibrary.wiley.com/doi/10.1111/j.1744-6570.2005.00714.x, friendlyName=Open source</x:v>
      </x:c>
      <x:c r="E13" s="5" t="s">
        <x:v>1101</x:v>
      </x:c>
    </x:row>
    <x:row r="14">
      <x:c r="A14" s="5" t="s">
        <x:v>1102</x:v>
      </x:c>
      <x:c r="B14" s="5" t="s">
        <x:v>1103</x:v>
      </x:c>
      <x:c r="C14" s="5" t="s">
        <x:v>1104</x:v>
      </x:c>
      <x:c r="D14" s="5" t="e">
        <x:f>HYPERLINK("https://sajip.co.za/index.php/sajip/article/view/1582/2554","Open source")</x:f>
        <x:v>HYPERLINK is not implemented. linkLocation=https://sajip.co.za/index.php/sajip/article/view/1582/2554, friendlyName=Open source</x:v>
      </x:c>
      <x:c r="E14" s="5" t="s">
        <x:v>1105</x:v>
      </x:c>
    </x:row>
    <x:row r="15" ht="25.5">
      <x:c r="A15" s="5" t="s">
        <x:v>1106</x:v>
      </x:c>
      <x:c r="B15" s="5" t="s">
        <x:v>1107</x:v>
      </x:c>
      <x:c r="C15" s="5" t="s">
        <x:v>1108</x:v>
      </x:c>
      <x:c r="D15" s="5" t="e">
        <x:f>HYPERLINK("https://ink.library.smu.edu.sg/cgi/viewcontent.cgi?article=6580&amp;context=lkcsb_research","Open source")</x:f>
        <x:v>HYPERLINK is not implemented. linkLocation=https://ink.library.smu.edu.sg/cgi/viewcontent.cgi?article=6580&amp;context=lkcsb_research, friendlyName=Open source</x:v>
      </x:c>
      <x:c r="E15" s="5" t="s">
        <x:v>1109</x:v>
      </x:c>
    </x:row>
    <x:row r="16" ht="25.5">
      <x:c r="A16" s="5" t="s">
        <x:v>1110</x:v>
      </x:c>
      <x:c r="B16" s="5" t="s">
        <x:v>1111</x:v>
      </x:c>
      <x:c r="C16" s="5" t="s">
        <x:v>1112</x:v>
      </x:c>
      <x:c r="D16" s="5" t="e">
        <x:f>HYPERLINK("https://pubmed.ncbi.nlm.nih.gov/27055049/","Open source")</x:f>
        <x:v>HYPERLINK is not implemented. linkLocation=https://pubmed.ncbi.nlm.nih.gov/27055049/, friendlyName=Open source</x:v>
      </x:c>
      <x:c r="E16" s="5" t="s">
        <x:v>1113</x:v>
      </x:c>
    </x:row>
    <x:row r="17">
      <x:c r="A17" s="5" t="s">
        <x:v>1114</x:v>
      </x:c>
      <x:c r="B17" s="5" t="s">
        <x:v>134</x:v>
      </x:c>
      <x:c r="C17" s="5" t="s">
        <x:v>1115</x:v>
      </x:c>
      <x:c r="D17" s="5" t="e">
        <x:f>HYPERLINK("https://www.colby.edu/psych/wp-content/uploads/sites/50/2022/06/Soto_et_al_2022.pdf","Open source")</x:f>
        <x:v>HYPERLINK is not implemented. linkLocation=https://www.colby.edu/psych/wp-content/uploads/sites/50/2022/06/Soto_et_al_2022.pdf, friendlyName=Open source</x:v>
      </x:c>
      <x:c r="E17" s="5" t="s">
        <x:v>1116</x:v>
      </x:c>
    </x:row>
    <x:row r="18">
      <x:c r="A18" s="5" t="s">
        <x:v>1117</x:v>
      </x:c>
      <x:c r="B18" s="5" t="s">
        <x:v>1118</x:v>
      </x:c>
      <x:c r="C18" s="5" t="s">
        <x:v>1119</x:v>
      </x:c>
      <x:c r="D18" s="5" t="e">
        <x:f>HYPERLINK("https://www.sciencedirect.com/science/article/abs/pii/S0191886918305993","Open source")</x:f>
        <x:v>HYPERLINK is not implemented. linkLocation=https://www.sciencedirect.com/science/article/abs/pii/S0191886918305993, friendlyName=Open source</x:v>
      </x:c>
      <x:c r="E18" s="5" t="s">
        <x:v>1120</x:v>
      </x:c>
    </x:row>
    <x:row r="19">
      <x:c r="A19" s="5" t="s">
        <x:v>1121</x:v>
      </x:c>
      <x:c r="B19" s="5" t="s">
        <x:v>1122</x:v>
      </x:c>
      <x:c r="C19" s="5" t="s">
        <x:v>1123</x:v>
      </x:c>
      <x:c r="D19" s="5" t="e">
        <x:f>HYPERLINK("https://pmc.ncbi.nlm.nih.gov/articles/PMC3711349/","Open source")</x:f>
        <x:v>HYPERLINK is not implemented. linkLocation=https://pmc.ncbi.nlm.nih.gov/articles/PMC3711349/, friendlyName=Open source</x:v>
      </x:c>
      <x:c r="E19" s="5" t="s">
        <x:v>1124</x:v>
      </x:c>
    </x:row>
    <x:row r="20">
      <x:c r="A20" s="5" t="s">
        <x:v>1125</x:v>
      </x:c>
      <x:c r="B20" s="5" t="s">
        <x:v>1126</x:v>
      </x:c>
      <x:c r="C20" s="5" t="s">
        <x:v>1127</x:v>
      </x:c>
      <x:c r="D20" s="5" t="e">
        <x:f>HYPERLINK("https://files.eric.ed.gov/fulltext/EJ1251561.pdf","Open source")</x:f>
        <x:v>HYPERLINK is not implemented. linkLocation=https://files.eric.ed.gov/fulltext/EJ1251561.pdf, friendlyName=Open source</x:v>
      </x:c>
      <x:c r="E20" s="5" t="s">
        <x:v>1128</x:v>
      </x:c>
    </x:row>
    <x:row r="21">
      <x:c r="A21" s="5" t="s">
        <x:v>1129</x:v>
      </x:c>
      <x:c r="B21" s="5" t="s">
        <x:v>1130</x:v>
      </x:c>
      <x:c r="C21" s="5" t="s">
        <x:v>1131</x:v>
      </x:c>
      <x:c r="D21" s="5" t="e">
        <x:f>HYPERLINK("https://pmc.ncbi.nlm.nih.gov/articles/PMC5627219/","Open source")</x:f>
        <x:v>HYPERLINK is not implemented. linkLocation=https://pmc.ncbi.nlm.nih.gov/articles/PMC5627219/, friendlyName=Open source</x:v>
      </x:c>
      <x:c r="E21" s="5" t="s">
        <x:v>1132</x:v>
      </x:c>
    </x:row>
    <x:row r="22">
      <x:c r="A22" s="5" t="s">
        <x:v>1133</x:v>
      </x:c>
      <x:c r="B22" s="5" t="s">
        <x:v>1134</x:v>
      </x:c>
      <x:c r="C22" s="5" t="s">
        <x:v>1135</x:v>
      </x:c>
      <x:c r="D22" s="5" t="e">
        <x:f>HYPERLINK("https://www.frontiersin.org/journals/psychology/articles/10.3389/fpsyg.2022.942662/full","Open source")</x:f>
        <x:v>HYPERLINK is not implemented. linkLocation=https://www.frontiersin.org/journals/psychology/articles/10.3389/fpsyg.2022.942662/full, friendlyName=Open source</x:v>
      </x:c>
      <x:c r="E22" s="5" t="s">
        <x:v>1136</x:v>
      </x:c>
    </x:row>
    <x:row r="23">
      <x:c r="A23" s="5" t="s">
        <x:v>1137</x:v>
      </x:c>
      <x:c r="B23" s="5" t="s">
        <x:v>1138</x:v>
      </x:c>
      <x:c r="C23" s="5" t="s">
        <x:v>1139</x:v>
      </x:c>
      <x:c r="D23" s="5" t="e">
        <x:f>HYPERLINK("https://www.pnas.org/doi/10.1073/pnas.2221510120","Open source")</x:f>
        <x:v>HYPERLINK is not implemented. linkLocation=https://www.pnas.org/doi/10.1073/pnas.2221510120, friendlyName=Open source</x:v>
      </x:c>
      <x:c r="E23" s="5" t="s">
        <x:v>1140</x:v>
      </x:c>
    </x:row>
    <x:row r="24">
      <x:c r="A24" s="5" t="s">
        <x:v>1141</x:v>
      </x:c>
      <x:c r="B24" s="5" t="s">
        <x:v>1142</x:v>
      </x:c>
      <x:c r="C24" s="5" t="s">
        <x:v>1143</x:v>
      </x:c>
      <x:c r="D24" s="5" t="e">
        <x:f>HYPERLINK("https://pmc.ncbi.nlm.nih.gov/articles/PMC5904751/","Open source")</x:f>
        <x:v>HYPERLINK is not implemented. linkLocation=https://pmc.ncbi.nlm.nih.gov/articles/PMC5904751/, friendlyName=Open source</x:v>
      </x:c>
      <x:c r="E24" s="5" t="s">
        <x:v>1144</x:v>
      </x:c>
    </x:row>
    <x:row r="25">
      <x:c r="A25" s="5" t="s">
        <x:v>1145</x:v>
      </x:c>
      <x:c r="B25" s="5" t="s">
        <x:v>1146</x:v>
      </x:c>
      <x:c r="C25" s="5" t="s">
        <x:v>1147</x:v>
      </x:c>
      <x:c r="D25" s="5" t="e">
        <x:f>HYPERLINK("https://pmc.ncbi.nlm.nih.gov/articles/PMC6974913/","Open source")</x:f>
        <x:v>HYPERLINK is not implemented. linkLocation=https://pmc.ncbi.nlm.nih.gov/articles/PMC6974913/, friendlyName=Open source</x:v>
      </x:c>
      <x:c r="E25" s="5" t="s">
        <x:v>1148</x:v>
      </x:c>
    </x:row>
    <x:row r="26">
      <x:c r="A26" s="5" t="s">
        <x:v>1149</x:v>
      </x:c>
      <x:c r="B26" s="5" t="s">
        <x:v>1150</x:v>
      </x:c>
      <x:c r="C26" s="5" t="s">
        <x:v>1151</x:v>
      </x:c>
      <x:c r="D26" s="5" t="e">
        <x:f>HYPERLINK("https://www.cambridge.org/core/journals/industrial-and-organizational-psychology/article/principles-for-the-validation-and-use-of-personnel-selection-procedures/730C076329F88919D5C81C6E7D304FE2","Open source")</x:f>
        <x:v>HYPERLINK is not implemented. linkLocation=https://www.cambridge.org/core/journals/industrial-and-organizational-psychology/article/principles-for-the-validation-and-use-of-personnel-selection-procedures/730C076329F88919D5C81C6E7D304FE2, friendlyName=Open source</x:v>
      </x:c>
      <x:c r="E26" s="5" t="s">
        <x:v>1152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a63d5c35f2c4733"/>
  </x:tableParts>
</x:worksheet>
</file>

<file path=xl/worksheets/sheet8.xml><?xml version="1.0" encoding="utf-8"?>
<x:worksheet xmlns:x="http://schemas.openxmlformats.org/spreadsheetml/2006/main">
  <x:sheetFormatPr defaultRowHeight="14.25"/>
  <x:cols>
    <x:col min="1" max="1" width="22" customWidth="1"/>
    <x:col min="2" max="2" width="30" customWidth="1"/>
    <x:col min="3" max="3" width="48" customWidth="1"/>
    <x:col min="4" max="4" width="58" customWidth="1"/>
    <x:col min="5" max="5" width="55" customWidth="1"/>
    <x:col min="6" max="6" width="45" customWidth="1"/>
  </x:cols>
  <x:sheetData>
    <x:row r="1" ht="30" customHeight="1">
      <x:c r="A1" s="11" t="s">
        <x:v>1153</x:v>
      </x:c>
      <x:c r="B1" s="12"/>
      <x:c r="C1" s="12"/>
      <x:c r="D1" s="12"/>
      <x:c r="E1" s="12"/>
      <x:c r="F1" s="12"/>
      <x:c r="G1" s="13"/>
      <x:c r="H1" s="13"/>
    </x:row>
    <x:row r="2" ht="33.95000076293945" customHeight="1">
      <x:c r="A2" s="14" t="s">
        <x:v>1154</x:v>
      </x:c>
      <x:c r="B2" s="12"/>
      <x:c r="C2" s="12"/>
      <x:c r="D2" s="12"/>
      <x:c r="E2" s="12"/>
      <x:c r="F2" s="12"/>
      <x:c r="G2" s="13"/>
      <x:c r="H2" s="13"/>
    </x:row>
    <x:row r="3">
      <x:c r="A3" s="1"/>
      <x:c r="B3" s="1"/>
      <x:c r="C3" s="1"/>
      <x:c r="D3" s="1"/>
      <x:c r="E3" s="1"/>
      <x:c r="F3" s="1"/>
    </x:row>
    <x:row r="4">
      <x:c r="A4" s="2" t="s">
        <x:v>1155</x:v>
      </x:c>
      <x:c r="B4" s="2" t="s">
        <x:v>1156</x:v>
      </x:c>
      <x:c r="C4" s="2" t="s">
        <x:v>1157</x:v>
      </x:c>
      <x:c r="D4" s="2" t="s">
        <x:v>1158</x:v>
      </x:c>
      <x:c r="E4" s="2" t="s">
        <x:v>1159</x:v>
      </x:c>
      <x:c r="F4" s="2" t="s">
        <x:v>1160</x:v>
      </x:c>
    </x:row>
    <x:row r="5" ht="25.5">
      <x:c r="A5" s="5" t="s">
        <x:v>1161</x:v>
      </x:c>
      <x:c r="B5" s="5" t="s">
        <x:v>1162</x:v>
      </x:c>
      <x:c r="C5" s="5" t="s">
        <x:v>1163</x:v>
      </x:c>
      <x:c r="D5" s="5" t="s">
        <x:v>1164</x:v>
      </x:c>
      <x:c r="E5" s="5" t="s">
        <x:v>1165</x:v>
      </x:c>
      <x:c r="F5" s="5" t="s">
        <x:v>1166</x:v>
      </x:c>
    </x:row>
    <x:row r="6" ht="25.5">
      <x:c r="A6" s="5" t="s">
        <x:v>1167</x:v>
      </x:c>
      <x:c r="B6" s="5" t="s">
        <x:v>1168</x:v>
      </x:c>
      <x:c r="C6" s="5" t="s">
        <x:v>1169</x:v>
      </x:c>
      <x:c r="D6" s="5" t="s">
        <x:v>1170</x:v>
      </x:c>
      <x:c r="E6" s="5" t="s">
        <x:v>1171</x:v>
      </x:c>
      <x:c r="F6" s="5" t="s">
        <x:v>1172</x:v>
      </x:c>
    </x:row>
    <x:row r="7" ht="25.5">
      <x:c r="A7" s="5" t="s">
        <x:v>1173</x:v>
      </x:c>
      <x:c r="B7" s="5" t="s">
        <x:v>1174</x:v>
      </x:c>
      <x:c r="C7" s="5" t="s">
        <x:v>1175</x:v>
      </x:c>
      <x:c r="D7" s="5" t="s">
        <x:v>1176</x:v>
      </x:c>
      <x:c r="E7" s="5" t="s">
        <x:v>1177</x:v>
      </x:c>
      <x:c r="F7" s="5" t="s">
        <x:v>1178</x:v>
      </x:c>
    </x:row>
    <x:row r="8" ht="25.5">
      <x:c r="A8" s="5" t="s">
        <x:v>1179</x:v>
      </x:c>
      <x:c r="B8" s="5" t="s">
        <x:v>1180</x:v>
      </x:c>
      <x:c r="C8" s="5" t="s">
        <x:v>1181</x:v>
      </x:c>
      <x:c r="D8" s="5" t="s">
        <x:v>1182</x:v>
      </x:c>
      <x:c r="E8" s="5" t="s">
        <x:v>1183</x:v>
      </x:c>
      <x:c r="F8" s="5" t="s">
        <x:v>1184</x:v>
      </x:c>
    </x:row>
    <x:row r="9">
      <x:c r="A9" s="5" t="s">
        <x:v>1185</x:v>
      </x:c>
      <x:c r="B9" s="5" t="s">
        <x:v>1186</x:v>
      </x:c>
      <x:c r="C9" s="5" t="s">
        <x:v>1187</x:v>
      </x:c>
      <x:c r="D9" s="5" t="s">
        <x:v>1188</x:v>
      </x:c>
      <x:c r="E9" s="5" t="s">
        <x:v>1189</x:v>
      </x:c>
      <x:c r="F9" s="5" t="s">
        <x:v>1190</x:v>
      </x:c>
    </x:row>
    <x:row r="10" ht="25.5">
      <x:c r="A10" s="5" t="s">
        <x:v>1191</x:v>
      </x:c>
      <x:c r="B10" s="5" t="s">
        <x:v>1192</x:v>
      </x:c>
      <x:c r="C10" s="5" t="s">
        <x:v>1193</x:v>
      </x:c>
      <x:c r="D10" s="5" t="s">
        <x:v>1194</x:v>
      </x:c>
      <x:c r="E10" s="5" t="s">
        <x:v>1195</x:v>
      </x:c>
      <x:c r="F10" s="5" t="s">
        <x:v>1196</x:v>
      </x:c>
    </x:row>
    <x:row r="11" ht="25.5">
      <x:c r="A11" s="5" t="s">
        <x:v>1197</x:v>
      </x:c>
      <x:c r="B11" s="5" t="s">
        <x:v>1198</x:v>
      </x:c>
      <x:c r="C11" s="5" t="s">
        <x:v>1199</x:v>
      </x:c>
      <x:c r="D11" s="5" t="s">
        <x:v>1200</x:v>
      </x:c>
      <x:c r="E11" s="5" t="s">
        <x:v>1201</x:v>
      </x:c>
      <x:c r="F11" s="5" t="s">
        <x:v>1202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b34bccdddf14fc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8" hidden="0" customWidth="1"/>
    <x:col min="4" max="4" width="30" hidden="0" customWidth="1"/>
    <x:col min="5" max="5" width="26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18" t="str">
        <x:v>Scientific decision — what is safe to build next</x:v>
      </x:c>
      <x:c r="B1" s="18" t="str">
        <x:v>Scientific decision — what is safe to build next</x:v>
      </x:c>
      <x:c r="C1" s="18" t="str">
        <x:v>Scientific decision — what is safe to build next</x:v>
      </x:c>
      <x:c r="D1" s="18" t="str">
        <x:v>Scientific decision — what is safe to build next</x:v>
      </x:c>
      <x:c r="E1" s="18" t="str">
        <x:v>Scientific decision — what is safe to build next</x:v>
      </x:c>
      <x:c r="F1" s="18" t="str">
        <x:v>Scientific decision — what is safe to build next</x:v>
      </x:c>
      <x:c r="G1" s="18" t="str">
        <x:v>Scientific decision — what is safe to build next</x:v>
      </x:c>
      <x:c r="H1" s="18" t="str">
        <x:v>Scientific decision — what is safe to build next</x:v>
      </x:c>
    </x:row>
    <x:row r="2" ht="34" customHeight="1">
      <x:c r="A2" s="21" t="str">
        <x:v>This v2 preserves every original sheet and adds a corrective implementation authority. It does not establish formal validity, scoring, norms or hiring use. Exact questionnaire wording remains the comparison criterion; game outputs are provisional behavioral components.</x:v>
      </x:c>
      <x:c r="B2" s="21" t="str">
        <x:v>This v2 preserves every original sheet and adds a corrective implementation authority. It does not establish formal validity, scoring, norms or hiring use. Exact questionnaire wording remains the comparison criterion; game outputs are provisional behavioral components.</x:v>
      </x:c>
      <x:c r="C2" s="21" t="str">
        <x:v>This v2 preserves every original sheet and adds a corrective implementation authority. It does not establish formal validity, scoring, norms or hiring use. Exact questionnaire wording remains the comparison criterion; game outputs are provisional behavioral components.</x:v>
      </x:c>
      <x:c r="D2" s="21" t="str">
        <x:v>This v2 preserves every original sheet and adds a corrective implementation authority. It does not establish formal validity, scoring, norms or hiring use. Exact questionnaire wording remains the comparison criterion; game outputs are provisional behavioral components.</x:v>
      </x:c>
      <x:c r="E2" s="21" t="str">
        <x:v>This v2 preserves every original sheet and adds a corrective implementation authority. It does not establish formal validity, scoring, norms or hiring use. Exact questionnaire wording remains the comparison criterion; game outputs are provisional behavioral components.</x:v>
      </x:c>
      <x:c r="F2" s="21" t="str">
        <x:v>This v2 preserves every original sheet and adds a corrective implementation authority. It does not establish formal validity, scoring, norms or hiring use. Exact questionnaire wording remains the comparison criterion; game outputs are provisional behavioral components.</x:v>
      </x:c>
      <x:c r="G2" s="21" t="str">
        <x:v>This v2 preserves every original sheet and adds a corrective implementation authority. It does not establish formal validity, scoring, norms or hiring use. Exact questionnaire wording remains the comparison criterion; game outputs are provisional behavioral components.</x:v>
      </x:c>
      <x:c r="H2" s="21" t="str">
        <x:v>This v2 preserves every original sheet and adds a corrective implementation authority. It does not establish formal validity, scoring, norms or hiring use. Exact questionnaire wording remains the comparison criterion; game outputs are provisional behavioral components.</x:v>
      </x:c>
    </x:row>
    <x:row r="3" ht="34" customHeight="1">
      <x:c r="A3" s="21" t="str">
        <x:v>This v2 preserves every original sheet and adds a corrective implementation authority. It does not establish formal validity, scoring, norms or hiring use. Exact questionnaire wording remains the comparison criterion; game outputs are provisional behavioral components.</x:v>
      </x:c>
      <x:c r="B3" s="21" t="str">
        <x:v>This v2 preserves every original sheet and adds a corrective implementation authority. It does not establish formal validity, scoring, norms or hiring use. Exact questionnaire wording remains the comparison criterion; game outputs are provisional behavioral components.</x:v>
      </x:c>
      <x:c r="C3" s="21" t="str">
        <x:v>This v2 preserves every original sheet and adds a corrective implementation authority. It does not establish formal validity, scoring, norms or hiring use. Exact questionnaire wording remains the comparison criterion; game outputs are provisional behavioral components.</x:v>
      </x:c>
      <x:c r="D3" s="21" t="str">
        <x:v>This v2 preserves every original sheet and adds a corrective implementation authority. It does not establish formal validity, scoring, norms or hiring use. Exact questionnaire wording remains the comparison criterion; game outputs are provisional behavioral components.</x:v>
      </x:c>
      <x:c r="E3" s="21" t="str">
        <x:v>This v2 preserves every original sheet and adds a corrective implementation authority. It does not establish formal validity, scoring, norms or hiring use. Exact questionnaire wording remains the comparison criterion; game outputs are provisional behavioral components.</x:v>
      </x:c>
      <x:c r="F3" s="21" t="str">
        <x:v>This v2 preserves every original sheet and adds a corrective implementation authority. It does not establish formal validity, scoring, norms or hiring use. Exact questionnaire wording remains the comparison criterion; game outputs are provisional behavioral components.</x:v>
      </x:c>
      <x:c r="G3" s="21" t="str">
        <x:v>This v2 preserves every original sheet and adds a corrective implementation authority. It does not establish formal validity, scoring, norms or hiring use. Exact questionnaire wording remains the comparison criterion; game outputs are provisional behavioral components.</x:v>
      </x:c>
      <x:c r="H3" s="21" t="str">
        <x:v>This v2 preserves every original sheet and adds a corrective implementation authority. It does not establish formal validity, scoring, norms or hiring use. Exact questionnaire wording remains the comparison criterion; game outputs are provisional behavioral components.</x:v>
      </x:c>
    </x:row>
    <x:row r="5">
      <x:c r="A5" s="30" t="str">
        <x:v>Decision</x:v>
      </x:c>
      <x:c r="B5" s="30" t="str">
        <x:v>Current value</x:v>
      </x:c>
      <x:c r="D5" s="30" t="str">
        <x:v>Timing</x:v>
      </x:c>
      <x:c r="E5" s="30" t="str">
        <x:v>Value</x:v>
      </x:c>
    </x:row>
    <x:row r="6">
      <x:c r="A6" s="31" t="str">
        <x:v>Strong game candidates</x:v>
      </x:c>
      <x:c r="B6" s="31" t="n">
        <x:f>COUNTIF('09_M01_M26_FINAL'!$E$5:$E$30,"GAME-CANDIDATE — STRONG")</x:f>
        <x:v>16</x:v>
      </x:c>
      <x:c r="D6" s="31" t="str">
        <x:v>Planned active minutes</x:v>
      </x:c>
      <x:c r="E6" s="33" t="n">
        <x:f>B9/60</x:f>
        <x:v>17.333333333333332</x:v>
      </x:c>
    </x:row>
    <x:row r="7">
      <x:c r="A7" s="31" t="str">
        <x:v>Conditional game candidates</x:v>
      </x:c>
      <x:c r="B7" s="31" t="n">
        <x:f>COUNTIF('09_M01_M26_FINAL'!$E$5:$E$30,"GAME-CANDIDATE — CONDITIONAL")</x:f>
        <x:v>7</x:v>
      </x:c>
      <x:c r="D7" s="31" t="str">
        <x:v>Planned total minutes</x:v>
      </x:c>
      <x:c r="E7" s="33" t="n">
        <x:f>B12/60</x:f>
        <x:v>25.583333333333332</x:v>
      </x:c>
    </x:row>
    <x:row r="8">
      <x:c r="A8" s="31" t="str">
        <x:v>Questionnaire-primary / hybrid</x:v>
      </x:c>
      <x:c r="B8" s="31" t="n">
        <x:f>26-B6-B7</x:f>
        <x:v>3</x:v>
      </x:c>
      <x:c r="D8" s="31" t="str">
        <x:v>Hard ceiling minutes</x:v>
      </x:c>
      <x:c r="E8" s="33" t="n">
        <x:v>30</x:v>
      </x:c>
    </x:row>
    <x:row r="9">
      <x:c r="A9" s="31" t="str">
        <x:v>Item-owned active seconds</x:v>
      </x:c>
      <x:c r="B9" s="32" t="n">
        <x:f>SUM('09_M01_M26_FINAL'!$K$5:$K$30)</x:f>
        <x:v>1040</x:v>
      </x:c>
      <x:c r="D9" s="31" t="str">
        <x:v>Minutes of design buffer</x:v>
      </x:c>
      <x:c r="E9" s="33" t="n">
        <x:f>E8-E7</x:f>
        <x:v>4.416666666666668</x:v>
      </x:c>
    </x:row>
    <x:row r="10">
      <x:c r="A10" s="31" t="str">
        <x:v>Shared route/tutorial overhead</x:v>
      </x:c>
      <x:c r="B10" s="32" t="n">
        <x:v>420</x:v>
      </x:c>
      <x:c r="D10" s="31" t="str">
        <x:v>Human median target</x:v>
      </x:c>
      <x:c r="E10" s="31" t="str">
        <x:v>≤27 min</x:v>
      </x:c>
    </x:row>
    <x:row r="11">
      <x:c r="A11" s="31" t="str">
        <x:v>Non-scored Utility/Core closure</x:v>
      </x:c>
      <x:c r="B11" s="32" t="n">
        <x:v>75</x:v>
      </x:c>
      <x:c r="D11" s="31" t="str">
        <x:v>Human p90 gate</x:v>
      </x:c>
      <x:c r="E11" s="31" t="str">
        <x:v>≤30 min</x:v>
      </x:c>
    </x:row>
    <x:row r="12">
      <x:c r="A12" s="31" t="str">
        <x:v>Planned total seconds</x:v>
      </x:c>
      <x:c r="B12" s="32" t="n">
        <x:f>SUM(B9:B11)</x:f>
        <x:v>1535</x:v>
      </x:c>
      <x:c r="D12" s="31" t="str">
        <x:v>Current status</x:v>
      </x:c>
      <x:c r="E12" s="31" t="str">
        <x:v>Planning estimate only — requires human pilot</x:v>
      </x:c>
    </x:row>
    <x:row r="14">
      <x:c r="A14" s="23" t="str">
        <x:v>MANDATORY CORRECTIONS</x:v>
      </x:c>
      <x:c r="B14" s="23"/>
      <x:c r="C14" s="23"/>
      <x:c r="D14" s="23"/>
      <x:c r="E14" s="23"/>
      <x:c r="F14" s="23"/>
      <x:c r="G14" s="23"/>
      <x:c r="H14" s="23"/>
    </x:row>
    <x:row r="15">
      <x:c r="A15" s="36" t="str">
        <x:v>1</x:v>
      </x:c>
      <x:c r="B15" s="34" t="str">
        <x:v>Infer at facet/scale level first — BFI items index three facets; BESSI M13–M18 index one facet; PDD/IP are separate scales.</x:v>
      </x:c>
      <x:c r="C15" s="34"/>
      <x:c r="D15" s="34"/>
      <x:c r="E15" s="34"/>
      <x:c r="F15" s="34"/>
      <x:c r="G15" s="34"/>
      <x:c r="H15" s="34"/>
    </x:row>
    <x:row r="16">
      <x:c r="A16" s="37" t="str">
        <x:v>2</x:v>
      </x:c>
      <x:c r="B16" s="35" t="str">
        <x:v>M25 is not game-only — repetition cannot reveal the source item's private belief that the behavior is normal.</x:v>
      </x:c>
      <x:c r="C16" s="35"/>
      <x:c r="D16" s="35"/>
      <x:c r="E16" s="35"/>
      <x:c r="F16" s="35"/>
      <x:c r="G16" s="35"/>
      <x:c r="H16" s="35"/>
    </x:row>
    <x:row r="17">
      <x:c r="A17" s="36" t="str">
        <x:v>3</x:v>
      </x:c>
      <x:c r="B17" s="34" t="str">
        <x:v>M08 and M11 remain questionnaire-primary — optional work and one seal lapse are too confounded/narrow for primary trait inference.</x:v>
      </x:c>
      <x:c r="C17" s="34"/>
      <x:c r="D17" s="34"/>
      <x:c r="E17" s="34"/>
      <x:c r="F17" s="34"/>
      <x:c r="G17" s="34"/>
      <x:c r="H17" s="34"/>
    </x:row>
    <x:row r="18">
      <x:c r="A18" s="37" t="str">
        <x:v>4</x:v>
      </x:c>
      <x:c r="B18" s="35" t="str">
        <x:v>Five episodes, not 26 rooms — reuse interfaces while preserving item-owned objects, windows and raw components.</x:v>
      </x:c>
      <x:c r="C18" s="35"/>
      <x:c r="D18" s="35"/>
      <x:c r="E18" s="35"/>
      <x:c r="F18" s="35"/>
      <x:c r="G18" s="35"/>
      <x:c r="H18" s="35"/>
    </x:row>
    <x:row r="19">
      <x:c r="A19" s="36" t="str">
        <x:v>5</x:v>
      </x:c>
      <x:c r="B19" s="34" t="str">
        <x:v>Utility/Core is non-scored closure — three physical feeds and visible stabilization provide payoff without construct stuffing.</x:v>
      </x:c>
      <x:c r="C19" s="34"/>
      <x:c r="D19" s="34"/>
      <x:c r="E19" s="34"/>
      <x:c r="F19" s="34"/>
      <x:c r="G19" s="34"/>
      <x:c r="H19" s="34"/>
    </x:row>
    <x:row r="20">
      <x:c r="A20" s="37" t="str">
        <x:v>6</x:v>
      </x:c>
      <x:c r="B20" s="35" t="str">
        <x:v>No pilot score yet — export raw components + validity; validate before formulas, weights, cut scores or hiring interpretation.</x:v>
      </x:c>
      <x:c r="C20" s="35"/>
      <x:c r="D20" s="35"/>
      <x:c r="E20" s="35"/>
      <x:c r="F20" s="35"/>
      <x:c r="G20" s="35"/>
      <x:c r="H20" s="35"/>
    </x:row>
  </x:sheetData>
  <x:mergeCells>
    <x:mergeCell ref="A1:H1"/>
    <x:mergeCell ref="A2:H3"/>
    <x:mergeCell ref="A14:H14"/>
    <x:mergeCell ref="B15:H15"/>
    <x:mergeCell ref="B16:H16"/>
    <x:mergeCell ref="B17:H17"/>
    <x:mergeCell ref="B18:H18"/>
    <x:mergeCell ref="B19:H19"/>
    <x:mergeCell ref="B20:H20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22" hidden="0" customWidth="1"/>
    <x:col min="4" max="4" width="30" hidden="0" customWidth="1"/>
    <x:col min="5" max="5" width="28" hidden="0" customWidth="1"/>
    <x:col min="6" max="6" width="30" hidden="0" customWidth="1"/>
    <x:col min="7" max="7" width="56" hidden="0" customWidth="1"/>
    <x:col min="8" max="8" width="46" hidden="0" customWidth="1"/>
    <x:col min="9" max="9" width="52" hidden="0" customWidth="1"/>
    <x:col min="10" max="10" width="40" hidden="0" customWidth="1"/>
    <x:col min="11" max="11" width="10" hidden="0" customWidth="1"/>
    <x:col min="12" max="12" width="42" hidden="0" customWidth="1"/>
    <x:col min="13" max="13" width="22" hidden="0" customWidth="1"/>
    <x:col min="14" max="14" width="34" hidden="0" customWidth="1"/>
  </x:cols>
  <x:sheetData>
    <x:row r="1" ht="30" customHeight="1">
      <x:c r="A1" s="18" t="str">
        <x:v>M01–M26 final scientific disposition and candidate evidence</x:v>
      </x:c>
      <x:c r="B1" s="18" t="str">
        <x:v>M01–M26 final scientific disposition and candidate evidence</x:v>
      </x:c>
      <x:c r="C1" s="18" t="str">
        <x:v>M01–M26 final scientific disposition and candidate evidence</x:v>
      </x:c>
      <x:c r="D1" s="18" t="str">
        <x:v>M01–M26 final scientific disposition and candidate evidence</x:v>
      </x:c>
      <x:c r="E1" s="18" t="str">
        <x:v>M01–M26 final scientific disposition and candidate evidence</x:v>
      </x:c>
      <x:c r="F1" s="18" t="str">
        <x:v>M01–M26 final scientific disposition and candidate evidence</x:v>
      </x:c>
      <x:c r="G1" s="18" t="str">
        <x:v>M01–M26 final scientific disposition and candidate evidence</x:v>
      </x:c>
      <x:c r="H1" s="18" t="str">
        <x:v>M01–M26 final scientific disposition and candidate evidence</x:v>
      </x:c>
      <x:c r="I1" s="18" t="str">
        <x:v>M01–M26 final scientific disposition and candidate evidence</x:v>
      </x:c>
      <x:c r="J1" s="18" t="str">
        <x:v>M01–M26 final scientific disposition and candidate evidence</x:v>
      </x:c>
      <x:c r="K1" s="18" t="str">
        <x:v>M01–M26 final scientific disposition and candidate evidence</x:v>
      </x:c>
      <x:c r="L1" s="18" t="str">
        <x:v>M01–M26 final scientific disposition and candidate evidence</x:v>
      </x:c>
      <x:c r="M1" s="18" t="str">
        <x:v>M01–M26 final scientific disposition and candidate evidence</x:v>
      </x:c>
      <x:c r="N1" s="18" t="str">
        <x:v>M01–M26 final scientific disposition and candidate evidence</x:v>
      </x:c>
    </x:row>
    <x:row r="2" ht="34" customHeight="1">
      <x:c r="A2" s="21" t="str">
        <x:v>Decision authority for the next implementation session. 'Strong' means strongest current design candidate, not validated replacement. Candidate variables are raw components only; missing/invalid opportunities never become low values.</x:v>
      </x:c>
      <x:c r="B2" s="21" t="str">
        <x:v>Decision authority for the next implementation session. 'Strong' means strongest current design candidate, not validated replacement. Candidate variables are raw components only; missing/invalid opportunities never become low values.</x:v>
      </x:c>
      <x:c r="C2" s="21" t="str">
        <x:v>Decision authority for the next implementation session. 'Strong' means strongest current design candidate, not validated replacement. Candidate variables are raw components only; missing/invalid opportunities never become low values.</x:v>
      </x:c>
      <x:c r="D2" s="21" t="str">
        <x:v>Decision authority for the next implementation session. 'Strong' means strongest current design candidate, not validated replacement. Candidate variables are raw components only; missing/invalid opportunities never become low values.</x:v>
      </x:c>
      <x:c r="E2" s="21" t="str">
        <x:v>Decision authority for the next implementation session. 'Strong' means strongest current design candidate, not validated replacement. Candidate variables are raw components only; missing/invalid opportunities never become low values.</x:v>
      </x:c>
      <x:c r="F2" s="21" t="str">
        <x:v>Decision authority for the next implementation session. 'Strong' means strongest current design candidate, not validated replacement. Candidate variables are raw components only; missing/invalid opportunities never become low values.</x:v>
      </x:c>
      <x:c r="G2" s="21" t="str">
        <x:v>Decision authority for the next implementation session. 'Strong' means strongest current design candidate, not validated replacement. Candidate variables are raw components only; missing/invalid opportunities never become low values.</x:v>
      </x:c>
      <x:c r="H2" s="21" t="str">
        <x:v>Decision authority for the next implementation session. 'Strong' means strongest current design candidate, not validated replacement. Candidate variables are raw components only; missing/invalid opportunities never become low values.</x:v>
      </x:c>
      <x:c r="I2" s="21" t="str">
        <x:v>Decision authority for the next implementation session. 'Strong' means strongest current design candidate, not validated replacement. Candidate variables are raw components only; missing/invalid opportunities never become low values.</x:v>
      </x:c>
      <x:c r="J2" s="21" t="str">
        <x:v>Decision authority for the next implementation session. 'Strong' means strongest current design candidate, not validated replacement. Candidate variables are raw components only; missing/invalid opportunities never become low values.</x:v>
      </x:c>
      <x:c r="K2" s="21" t="str">
        <x:v>Decision authority for the next implementation session. 'Strong' means strongest current design candidate, not validated replacement. Candidate variables are raw components only; missing/invalid opportunities never become low values.</x:v>
      </x:c>
      <x:c r="L2" s="21" t="str">
        <x:v>Decision authority for the next implementation session. 'Strong' means strongest current design candidate, not validated replacement. Candidate variables are raw components only; missing/invalid opportunities never become low values.</x:v>
      </x:c>
      <x:c r="M2" s="21" t="str">
        <x:v>Decision authority for the next implementation session. 'Strong' means strongest current design candidate, not validated replacement. Candidate variables are raw components only; missing/invalid opportunities never become low values.</x:v>
      </x:c>
      <x:c r="N2" s="21" t="str">
        <x:v>Decision authority for the next implementation session. 'Strong' means strongest current design candidate, not validated replacement. Candidate variables are raw components only; missing/invalid opportunities never become low values.</x:v>
      </x:c>
    </x:row>
    <x:row r="3" ht="34" customHeight="1">
      <x:c r="A3" s="21" t="str">
        <x:v>Decision authority for the next implementation session. 'Strong' means strongest current design candidate, not validated replacement. Candidate variables are raw components only; missing/invalid opportunities never become low values.</x:v>
      </x:c>
      <x:c r="B3" s="21" t="str">
        <x:v>Decision authority for the next implementation session. 'Strong' means strongest current design candidate, not validated replacement. Candidate variables are raw components only; missing/invalid opportunities never become low values.</x:v>
      </x:c>
      <x:c r="C3" s="21" t="str">
        <x:v>Decision authority for the next implementation session. 'Strong' means strongest current design candidate, not validated replacement. Candidate variables are raw components only; missing/invalid opportunities never become low values.</x:v>
      </x:c>
      <x:c r="D3" s="21" t="str">
        <x:v>Decision authority for the next implementation session. 'Strong' means strongest current design candidate, not validated replacement. Candidate variables are raw components only; missing/invalid opportunities never become low values.</x:v>
      </x:c>
      <x:c r="E3" s="21" t="str">
        <x:v>Decision authority for the next implementation session. 'Strong' means strongest current design candidate, not validated replacement. Candidate variables are raw components only; missing/invalid opportunities never become low values.</x:v>
      </x:c>
      <x:c r="F3" s="21" t="str">
        <x:v>Decision authority for the next implementation session. 'Strong' means strongest current design candidate, not validated replacement. Candidate variables are raw components only; missing/invalid opportunities never become low values.</x:v>
      </x:c>
      <x:c r="G3" s="21" t="str">
        <x:v>Decision authority for the next implementation session. 'Strong' means strongest current design candidate, not validated replacement. Candidate variables are raw components only; missing/invalid opportunities never become low values.</x:v>
      </x:c>
      <x:c r="H3" s="21" t="str">
        <x:v>Decision authority for the next implementation session. 'Strong' means strongest current design candidate, not validated replacement. Candidate variables are raw components only; missing/invalid opportunities never become low values.</x:v>
      </x:c>
      <x:c r="I3" s="21" t="str">
        <x:v>Decision authority for the next implementation session. 'Strong' means strongest current design candidate, not validated replacement. Candidate variables are raw components only; missing/invalid opportunities never become low values.</x:v>
      </x:c>
      <x:c r="J3" s="21" t="str">
        <x:v>Decision authority for the next implementation session. 'Strong' means strongest current design candidate, not validated replacement. Candidate variables are raw components only; missing/invalid opportunities never become low values.</x:v>
      </x:c>
      <x:c r="K3" s="21" t="str">
        <x:v>Decision authority for the next implementation session. 'Strong' means strongest current design candidate, not validated replacement. Candidate variables are raw components only; missing/invalid opportunities never become low values.</x:v>
      </x:c>
      <x:c r="L3" s="21" t="str">
        <x:v>Decision authority for the next implementation session. 'Strong' means strongest current design candidate, not validated replacement. Candidate variables are raw components only; missing/invalid opportunities never become low values.</x:v>
      </x:c>
      <x:c r="M3" s="21" t="str">
        <x:v>Decision authority for the next implementation session. 'Strong' means strongest current design candidate, not validated replacement. Candidate variables are raw components only; missing/invalid opportunities never become low values.</x:v>
      </x:c>
      <x:c r="N3" s="21" t="str">
        <x:v>Decision authority for the next implementation session. 'Strong' means strongest current design candidate, not validated replacement. Candidate variables are raw components only; missing/invalid opportunities never become low values.</x:v>
      </x:c>
    </x:row>
    <x:row r="4" ht="34" customHeight="1">
      <x:c r="A4" s="41" t="str">
        <x:v>ID</x:v>
      </x:c>
      <x:c r="B4" s="41" t="str">
        <x:v>Instrument</x:v>
      </x:c>
      <x:c r="C4" s="41" t="str">
        <x:v>Facet / scale</x:v>
      </x:c>
      <x:c r="D4" s="41" t="str">
        <x:v>Exact source item</x:v>
      </x:c>
      <x:c r="E4" s="41" t="str">
        <x:v>Final disposition</x:v>
      </x:c>
      <x:c r="F4" s="41" t="str">
        <x:v>Analysis level</x:v>
      </x:c>
      <x:c r="G4" s="41" t="str">
        <x:v>Final game opportunity</x:v>
      </x:c>
      <x:c r="H4" s="41" t="str">
        <x:v>Candidate raw variables</x:v>
      </x:c>
      <x:c r="I4" s="41" t="str">
        <x:v>Validity / missing gate</x:v>
      </x:c>
      <x:c r="J4" s="41" t="str">
        <x:v>Main rival explanations</x:v>
      </x:c>
      <x:c r="K4" s="41" t="str">
        <x:v>Active sec</x:v>
      </x:c>
      <x:c r="L4" s="41" t="str">
        <x:v>Implementation action</x:v>
      </x:c>
      <x:c r="M4" s="41" t="str">
        <x:v>Episode</x:v>
      </x:c>
      <x:c r="N4" s="41" t="str">
        <x:v>Primary source</x:v>
      </x:c>
    </x:row>
    <x:row r="5" ht="70" customHeight="1">
      <x:c r="A5" s="44" t="str">
        <x:v>M01</x:v>
      </x:c>
      <x:c r="B5" s="31" t="str">
        <x:v>BFI-2 Conscientiousness</x:v>
      </x:c>
      <x:c r="C5" s="31" t="str">
        <x:v>Organization</x:v>
      </x:c>
      <x:c r="D5" s="31" t="str">
        <x:v>Is systematic, likes to keep things in order.</x:v>
      </x:c>
      <x:c r="E5" s="43" t="str">
        <x:v>GAME-CANDIDATE — CONDITIONAL</x:v>
      </x:c>
      <x:c r="F5" s="31" t="str">
        <x:v>Organization facet first; item component exploratory</x:v>
      </x:c>
      <x:c r="G5" s="31" t="str">
        <x:v>Storm incident board: inspect a compact packet, create a dependency-valid work order, then execute the first three transitions. Permit at least two equally valid orders.</x:v>
      </x:c>
      <x:c r="H5" s="31" t="str">
        <x:v>order_board_state; dependency_violations; precommit_corrections; first_three_transitions</x:v>
      </x:c>
      <x:c r="I5" s="31" t="str">
        <x:v>Briefing comprehension passed; every document visible; no time pressure; matched form; board actions isolated from M05/M12/M14.</x:v>
      </x:c>
      <x:c r="J5" s="31" t="str">
        <x:v>Reading/planning ability; interface literacy; overly explicit instructions suppress trait expression.</x:v>
      </x:c>
      <x:c r="K5" s="49" t="n">
        <x:v>35</x:v>
      </x:c>
      <x:c r="L5" s="31" t="str">
        <x:v>REVISE current board; do not score one 'correct' sequence.</x:v>
      </x:c>
      <x:c r="M5" s="31" t="str">
        <x:v>1 Incident Handover</x:v>
      </x:c>
      <x:c r="N5" s="31" t="str">
        <x:v>https://doi.org/10.1037/pspp0000096</x:v>
      </x:c>
    </x:row>
    <x:row r="6" ht="70" customHeight="1">
      <x:c r="A6" s="44" t="str">
        <x:v>M02</x:v>
      </x:c>
      <x:c r="B6" s="31" t="str">
        <x:v>BFI-2 Conscientiousness</x:v>
      </x:c>
      <x:c r="C6" s="31" t="str">
        <x:v>Organization</x:v>
      </x:c>
      <x:c r="D6" s="31" t="str">
        <x:v>Tends to be disorganized.</x:v>
      </x:c>
      <x:c r="E6" s="43" t="str">
        <x:v>GAME-CANDIDATE — CONDITIONAL</x:v>
      </x:c>
      <x:c r="F6" s="31" t="str">
        <x:v>Organization facet first; reverse-keyed component exploratory</x:v>
      </x:c>
      <x:c r="G6" s="31" t="str">
        <x:v>Open workspace: manage six cases with optional folders/labels, then retrieve two counterbalanced cases before committing the handover.</x:v>
      </x:c>
      <x:c r="H6" s="31" t="str">
        <x:v>case_location_at_close; untraceable_case_count; misfile_count; duplicate_count; retrieval_actions; retrieval_errors</x:v>
      </x:c>
      <x:c r="I6" s="31" t="str">
        <x:v>Identical cases; multiple valid organization schemas; retrieval probes fixed by form; no inventory carryover; full keyboard/pointer equivalence.</x:v>
      </x:c>
      <x:c r="J6" s="31" t="str">
        <x:v>Working memory; categorization; UI mastery. Correct-bin sorting alone is not sufficient evidence.</x:v>
      </x:c>
      <x:c r="K6" s="49" t="n">
        <x:v>35</x:v>
      </x:c>
      <x:c r="L6" s="31" t="str">
        <x:v>REPLACE filing-as-answer-key with functional traceability + retrieval.</x:v>
      </x:c>
      <x:c r="M6" s="31" t="str">
        <x:v>2 Records &amp; Workshop</x:v>
      </x:c>
      <x:c r="N6" s="31" t="str">
        <x:v>https://doi.org/10.1037/pspp0000096</x:v>
      </x:c>
    </x:row>
    <x:row r="7" ht="70" customHeight="1">
      <x:c r="A7" s="44" t="str">
        <x:v>M03</x:v>
      </x:c>
      <x:c r="B7" s="31" t="str">
        <x:v>BFI-2 Conscientiousness</x:v>
      </x:c>
      <x:c r="C7" s="31" t="str">
        <x:v>Organization</x:v>
      </x:c>
      <x:c r="D7" s="31" t="str">
        <x:v>Keeps things neat and tidy.</x:v>
      </x:c>
      <x:c r="E7" s="46" t="str">
        <x:v>GAME-CANDIDATE — STRONG</x:v>
      </x:c>
      <x:c r="F7" s="31" t="str">
        <x:v>Organization facet; aggregate two item-owned occasions</x:v>
      </x:c>
      <x:c r="G7" s="31" t="str">
        <x:v>After two unrelated jobs, allow an optional workstation reset: return the same number of item-local tools/materials to clearly marked homes before leaving.</x:v>
      </x:c>
      <x:c r="H7" s="31" t="str">
        <x:v>objects_restored_o1; homes_correct_o1; close_state_o1; objects_restored_o2; homes_correct_o2; close_state_o2</x:v>
      </x:c>
      <x:c r="I7" s="31" t="str">
        <x:v>Matched object counts; independent spawn; exit remains open; no explicit cleanup order; M04 debris excluded.</x:v>
      </x:c>
      <x:c r="J7" s="31" t="str">
        <x:v>Demand characteristics; cue salience; matching ability.</x:v>
      </x:c>
      <x:c r="K7" s="49" t="n">
        <x:v>25</x:v>
      </x:c>
      <x:c r="L7" s="31" t="str">
        <x:v>KEEP inventory foundation; add two natural route occasions.</x:v>
      </x:c>
      <x:c r="M7" s="31" t="str">
        <x:v>2 + 5</x:v>
      </x:c>
      <x:c r="N7" s="31" t="str">
        <x:v>https://doi.org/10.1037/pspp0000096</x:v>
      </x:c>
    </x:row>
    <x:row r="8" ht="70" customHeight="1">
      <x:c r="A8" s="44" t="str">
        <x:v>M04</x:v>
      </x:c>
      <x:c r="B8" s="31" t="str">
        <x:v>BFI-2 Conscientiousness</x:v>
      </x:c>
      <x:c r="C8" s="31" t="str">
        <x:v>Organization</x:v>
      </x:c>
      <x:c r="D8" s="31" t="str">
        <x:v>Leaves a mess, doesn’t clean up.</x:v>
      </x:c>
      <x:c r="E8" s="46" t="str">
        <x:v>GAME-CANDIDATE — STRONG</x:v>
      </x:c>
      <x:c r="F8" s="31" t="str">
        <x:v>Organization facet; reverse-keyed item component</x:v>
      </x:c>
      <x:c r="G8" s="31" t="str">
        <x:v>A neutral sample job creates six standardized, self-generated debris objects. Disposal is optional and the route never gates on cleanup.</x:v>
      </x:c>
      <x:c r="H8" s="31" t="str">
        <x:v>debris_remaining_at_exit; debris_disposed; cleanup_latency; window_exposure</x:v>
      </x:c>
      <x:c r="I8" s="31" t="str">
        <x:v>Exactly six salient/reachable objects; disposal works; no time pressure; debris not reused by M03; route exit always available.</x:v>
      </x:c>
      <x:c r="J8" s="31" t="str">
        <x:v>Perceived norms; salience; demand characteristics.</x:v>
      </x:c>
      <x:c r="K8" s="49" t="n">
        <x:v>25</x:v>
      </x:c>
      <x:c r="L8" s="31" t="str">
        <x:v>KEEP, but visually strengthen debris and test untouched/partial/full states.</x:v>
      </x:c>
      <x:c r="M8" s="31" t="str">
        <x:v>2 Records &amp; Workshop</x:v>
      </x:c>
      <x:c r="N8" s="31" t="str">
        <x:v>https://doi.org/10.1037/pspp0000096</x:v>
      </x:c>
    </x:row>
    <x:row r="9" ht="70" customHeight="1">
      <x:c r="A9" s="44" t="str">
        <x:v>M05</x:v>
      </x:c>
      <x:c r="B9" s="31" t="str">
        <x:v>BFI-2 Conscientiousness</x:v>
      </x:c>
      <x:c r="C9" s="31" t="str">
        <x:v>Productiveness</x:v>
      </x:c>
      <x:c r="D9" s="31" t="str">
        <x:v>Has difficulty getting started on tasks.</x:v>
      </x:c>
      <x:c r="E9" s="43" t="str">
        <x:v>GAME-CANDIDATE — CONDITIONAL</x:v>
      </x:c>
      <x:c r="F9" s="31" t="str">
        <x:v>Productiveness facet; aggregate two micro-opportunities</x:v>
      </x:c>
      <x:c r="G9" s="31" t="str">
        <x:v>After objective comprehension, present two low-risk visible faults at separate quiet moments without an NPC command; other actions remain neutral.</x:v>
      </x:c>
      <x:c r="H9" s="31" t="str">
        <x:v>eligible_opportunity; initiation_latency; initiated; censored_reason; occasion_id</x:v>
      </x:c>
      <x:c r="I9" s="31" t="str">
        <x:v>Clock starts after comprehension; fixed distance/access; valid focus/input state; no competing mandatory action; latency censoring preserved.</x:v>
      </x:c>
      <x:c r="J9" s="31" t="str">
        <x:v>Caution; uncertainty; motor speed; one situation is too narrow.</x:v>
      </x:c>
      <x:c r="K9" s="49" t="n">
        <x:v>20</x:v>
      </x:c>
      <x:c r="L9" s="31" t="str">
        <x:v>REVISE from one latency to two matched, comprehension-gated occasions.</x:v>
      </x:c>
      <x:c r="M9" s="31" t="str">
        <x:v>1 + 4</x:v>
      </x:c>
      <x:c r="N9" s="31" t="str">
        <x:v>https://doi.org/10.1037/pspp0000096</x:v>
      </x:c>
    </x:row>
    <x:row r="10" ht="70" customHeight="1">
      <x:c r="A10" s="44" t="str">
        <x:v>M06</x:v>
      </x:c>
      <x:c r="B10" s="31" t="str">
        <x:v>BFI-2 Conscientiousness</x:v>
      </x:c>
      <x:c r="C10" s="31" t="str">
        <x:v>Productiveness</x:v>
      </x:c>
      <x:c r="D10" s="31" t="str">
        <x:v>Is efficient, gets things done.</x:v>
      </x:c>
      <x:c r="E10" s="43" t="str">
        <x:v>GAME-CANDIDATE — CONDITIONAL</x:v>
      </x:c>
      <x:c r="F10" s="31" t="str">
        <x:v>Productiveness facet; quality-adjusted work-sample component</x:v>
      </x:c>
      <x:c r="G10" s="31" t="str">
        <x:v>After non-scored practice, compose and dispatch four routine pseudo-commands using visible tokens/reference; typing is optional, not required.</x:v>
      </x:c>
      <x:c r="H10" s="31" t="str">
        <x:v>correct_dispatches; invalid_commands; excess_actions; active_time_excl_animation; practice_passed</x:v>
      </x:c>
      <x:c r="I10" s="31" t="str">
        <x:v>Practice criterion; matched commands; quality floor; animation excluded; keyboard/pointer semantic equivalence.</x:v>
      </x:c>
      <x:c r="J10" s="31" t="str">
        <x:v>Working memory; interface fluency; gaming experience. Speed alone is prohibited.</x:v>
      </x:c>
      <x:c r="K10" s="49" t="n">
        <x:v>35</x:v>
      </x:c>
      <x:c r="L10" s="31" t="str">
        <x:v>KEEP engine; simplify presentation and pre-register only raw components.</x:v>
      </x:c>
      <x:c r="M10" s="31" t="str">
        <x:v>2 Records &amp; Workshop</x:v>
      </x:c>
      <x:c r="N10" s="31" t="str">
        <x:v>https://doi.org/10.1037/pspp0000096</x:v>
      </x:c>
    </x:row>
    <x:row r="11" ht="70" customHeight="1">
      <x:c r="A11" s="44" t="str">
        <x:v>M07</x:v>
      </x:c>
      <x:c r="B11" s="31" t="str">
        <x:v>BFI-2 Conscientiousness</x:v>
      </x:c>
      <x:c r="C11" s="31" t="str">
        <x:v>Productiveness</x:v>
      </x:c>
      <x:c r="D11" s="31" t="str">
        <x:v>Is persistent, works until the task is finished.</x:v>
      </x:c>
      <x:c r="E11" s="43" t="str">
        <x:v>GAME-CANDIDATE — CONDITIONAL</x:v>
      </x:c>
      <x:c r="F11" s="31" t="str">
        <x:v>Productiveness facet; distinguish routine finish-through from PDD</x:v>
      </x:c>
      <x:c r="G11" s="31" t="str">
        <x:v>Six-stage routine calibration with visible endpoint and persistent state; participant may leave and naturally return. No injected setback or difficulty spike.</x:v>
      </x:c>
      <x:c r="H11" s="31" t="str">
        <x:v>stages_completed; voluntary_returns; useful_reengagement; completion; departure_state</x:v>
      </x:c>
      <x:c r="I11" s="31" t="str">
        <x:v>Attainable; controls known; endpoint visible; no setback; state persists; no route gate forcing completion.</x:v>
      </x:c>
      <x:c r="J11" s="31" t="str">
        <x:v>Interest; ability; fatigue; completion pressure.</x:v>
      </x:c>
      <x:c r="K11" s="49" t="n">
        <x:v>35</x:v>
      </x:c>
      <x:c r="L11" s="31" t="str">
        <x:v>IMPLEMENT as routine project, not the difficult persistence task.</x:v>
      </x:c>
      <x:c r="M11" s="31" t="str">
        <x:v>2 + 5</x:v>
      </x:c>
      <x:c r="N11" s="31" t="str">
        <x:v>https://doi.org/10.1037/pspp0000096</x:v>
      </x:c>
    </x:row>
    <x:row r="12" ht="70" customHeight="1">
      <x:c r="A12" s="44" t="str">
        <x:v>M08</x:v>
      </x:c>
      <x:c r="B12" s="31" t="str">
        <x:v>BFI-2 Conscientiousness</x:v>
      </x:c>
      <x:c r="C12" s="31" t="str">
        <x:v>Productiveness</x:v>
      </x:c>
      <x:c r="D12" s="31" t="str">
        <x:v>Tends to be lazy.</x:v>
      </x:c>
      <x:c r="E12" s="48" t="str">
        <x:v>QUESTIONNAIRE-PRIMARY</x:v>
      </x:c>
      <x:c r="F12" s="31" t="str">
        <x:v>Exact BFI-2 item; optional work behavior is secondary only</x:v>
      </x:c>
      <x:c r="G12" s="31" t="str">
        <x:v>No scored standalone minigame. Two naturally available useful jobs may generate descriptive secondary telemetry only.</x:v>
      </x:c>
      <x:c r="H12" s="31" t="str">
        <x:v>secondary_optional_job_engagement; eligible_context; fatigue_context</x:v>
      </x:c>
      <x:c r="I12" s="31" t="str">
        <x:v>Never interpreted as a score; exact item remains in questionnaire; no rewards/route gates tied to engagement.</x:v>
      </x:c>
      <x:c r="J12" s="31" t="str">
        <x:v>Moralized/broad wording; fatigue; boredom; reward preference; task meaning.</x:v>
      </x:c>
      <x:c r="K12" s="49" t="n">
        <x:v>0</x:v>
      </x:c>
      <x:c r="L12" s="31" t="str">
        <x:v>REMOVE primary game inference; retain exact questionnaire item.</x:v>
      </x:c>
      <x:c r="M12" s="31" t="str">
        <x:v>Across route — secondary only</x:v>
      </x:c>
      <x:c r="N12" s="31" t="str">
        <x:v>https://doi.org/10.1037/pspp0000096</x:v>
      </x:c>
    </x:row>
    <x:row r="13" ht="70" customHeight="1">
      <x:c r="A13" s="44" t="str">
        <x:v>M09</x:v>
      </x:c>
      <x:c r="B13" s="31" t="str">
        <x:v>BFI-2 Conscientiousness</x:v>
      </x:c>
      <x:c r="C13" s="31" t="str">
        <x:v>Responsibility</x:v>
      </x:c>
      <x:c r="D13" s="31" t="str">
        <x:v>Is dependable, steady.</x:v>
      </x:c>
      <x:c r="E13" s="46" t="str">
        <x:v>GAME-CANDIDATE — STRONG</x:v>
      </x:c>
      <x:c r="F13" s="31" t="str">
        <x:v>Responsibility facet; aggregate two scheduled item-owned checks</x:v>
      </x:c>
      <x:c r="G13" s="31" t="str">
        <x:v>Voluntarily accept a monitor watch with two scheduled gauge checks at fixed route milestones, equal reminders and guaranteed access.</x:v>
      </x:c>
      <x:c r="H13" s="31" t="str">
        <x:v>check1_completed; check2_completed; due_delta_1; due_delta_2; reminder_exposure</x:v>
      </x:c>
      <x:c r="I13" s="31" t="str">
        <x:v>Explicit acceptance; both windows presented; no competing mandatory task; route access identical; failures distinguished from invalid presentation.</x:v>
      </x:c>
      <x:c r="J13" s="31" t="str">
        <x:v>Prospective memory; route knowledge; interruption exposure.</x:v>
      </x:c>
      <x:c r="K13" s="49" t="n">
        <x:v>25</x:v>
      </x:c>
      <x:c r="L13" s="31" t="str">
        <x:v>KEEP and intentionally require one meaningful return through the hub.</x:v>
      </x:c>
      <x:c r="M13" s="31" t="str">
        <x:v>1 + 5</x:v>
      </x:c>
      <x:c r="N13" s="31" t="str">
        <x:v>https://doi.org/10.1037/pspp0000096</x:v>
      </x:c>
    </x:row>
    <x:row r="14" ht="70" customHeight="1">
      <x:c r="A14" s="44" t="str">
        <x:v>M10</x:v>
      </x:c>
      <x:c r="B14" s="31" t="str">
        <x:v>BFI-2 Conscientiousness</x:v>
      </x:c>
      <x:c r="C14" s="31" t="str">
        <x:v>Responsibility</x:v>
      </x:c>
      <x:c r="D14" s="31" t="str">
        <x:v>Is reliable, can always be counted on.</x:v>
      </x:c>
      <x:c r="E14" s="46" t="str">
        <x:v>GAME-CANDIDATE — STRONG</x:v>
      </x:c>
      <x:c r="F14" s="31" t="str">
        <x:v>Responsibility facet; bounded social commitment</x:v>
      </x:c>
      <x:c r="G14" s="31" t="str">
        <x:v>Voluntarily accept delivery of a named component, receive a standardized interruption, and later hand it to the available named NPC.</x:v>
      </x:c>
      <x:c r="H14" s="31" t="str">
        <x:v>promise_accepted; promise_fulfilled; handover_delay; interruption_exposure; cutoff_state</x:v>
      </x:c>
      <x:c r="I14" s="31" t="str">
        <x:v>Explicit acceptance; item/recipient always available; one neutral reminder; no dialogue wording scored.</x:v>
      </x:c>
      <x:c r="J14" s="31" t="str">
        <x:v>Memory; navigation; social desirability.</x:v>
      </x:c>
      <x:c r="K14" s="49" t="n">
        <x:v>20</x:v>
      </x:c>
      <x:c r="L14" s="31" t="str">
        <x:v>KEEP; use Vale/Kai/Noor with persistent mission log and natural return.</x:v>
      </x:c>
      <x:c r="M14" s="31" t="str">
        <x:v>1 + 5</x:v>
      </x:c>
      <x:c r="N14" s="31" t="str">
        <x:v>https://doi.org/10.1037/pspp0000096</x:v>
      </x:c>
    </x:row>
    <x:row r="15" ht="70" customHeight="1">
      <x:c r="A15" s="44" t="str">
        <x:v>M11</x:v>
      </x:c>
      <x:c r="B15" s="31" t="str">
        <x:v>BFI-2 Conscientiousness</x:v>
      </x:c>
      <x:c r="C15" s="31" t="str">
        <x:v>Responsibility</x:v>
      </x:c>
      <x:c r="D15" s="31" t="str">
        <x:v>Sometimes behaves irresponsibly.</x:v>
      </x:c>
      <x:c r="E15" s="48" t="str">
        <x:v>QUESTIONNAIRE-PRIMARY</x:v>
      </x:c>
      <x:c r="F15" s="31" t="str">
        <x:v>Exact BFI-2 item; acknowledged seal behavior is exploratory</x:v>
      </x:c>
      <x:c r="G15" s="31" t="str">
        <x:v>Keep the sample-seal obligation as a secondary safety/compliance observation only; do not use one narrow lapse as broad irresponsibility.</x:v>
      </x:c>
      <x:c r="H15" s="31" t="str">
        <x:v>secondary_obligation_acknowledged; secondary_seal_resolved_at_transfer</x:v>
      </x:c>
      <x:c r="I15" s="31" t="str">
        <x:v>Exact item remains in questionnaire; no hazard penalty; transfer path works; secondary telemetry labelled non-primary.</x:v>
      </x:c>
      <x:c r="J15" s="31" t="str">
        <x:v>Risk interpretation; moral framing; compliance; one strong situation.</x:v>
      </x:c>
      <x:c r="K15" s="49" t="n">
        <x:v>0</x:v>
      </x:c>
      <x:c r="L15" s="31" t="str">
        <x:v>DOWNGRADE game task to secondary; retain exact questionnaire item.</x:v>
      </x:c>
      <x:c r="M15" s="31" t="str">
        <x:v>2 — secondary only</x:v>
      </x:c>
      <x:c r="N15" s="31" t="str">
        <x:v>https://doi.org/10.1037/pspp0000096</x:v>
      </x:c>
    </x:row>
    <x:row r="16" ht="70" customHeight="1">
      <x:c r="A16" s="44" t="str">
        <x:v>M12</x:v>
      </x:c>
      <x:c r="B16" s="31" t="str">
        <x:v>BFI-2 Conscientiousness</x:v>
      </x:c>
      <x:c r="C16" s="31" t="str">
        <x:v>Responsibility</x:v>
      </x:c>
      <x:c r="D16" s="31" t="str">
        <x:v>Can be somewhat careless.</x:v>
      </x:c>
      <x:c r="E16" s="43" t="str">
        <x:v>GAME-CANDIDATE — CONDITIONAL</x:v>
      </x:c>
      <x:c r="F16" s="31" t="str">
        <x:v>Responsibility facet; aggregate two matched QC occasions</x:v>
      </x:c>
      <x:c r="G16" s="31" t="str">
        <x:v>Inspect two independent completed work products, each with one visible-but-not-salient matched error, and optionally correct before submit.</x:v>
      </x:c>
      <x:c r="H16" s="31" t="str">
        <x:v>error_detected_o1; error_corrected_o1; error_detected_o2; error_corrected_o2; inspection_actions</x:v>
      </x:c>
      <x:c r="I16" s="31" t="str">
        <x:v>Error present/reachable; inspection practiced; no time pressure; matched salience; accessibility equivalent.</x:v>
      </x:c>
      <x:c r="J16" s="31" t="str">
        <x:v>Visual acuity; domain knowledge; cautiousness; interface search.</x:v>
      </x:c>
      <x:c r="K16" s="49" t="n">
        <x:v>30</x:v>
      </x:c>
      <x:c r="L16" s="31" t="str">
        <x:v>REVISE from one error to two matched observations; no speed score.</x:v>
      </x:c>
      <x:c r="M16" s="31" t="str">
        <x:v>1 + 2</x:v>
      </x:c>
      <x:c r="N16" s="31" t="str">
        <x:v>https://doi.org/10.1037/pspp0000096</x:v>
      </x:c>
    </x:row>
    <x:row r="17" ht="70" customHeight="1">
      <x:c r="A17" s="44" t="str">
        <x:v>M13</x:v>
      </x:c>
      <x:c r="B17" s="31" t="str">
        <x:v>BESSI-192</x:v>
      </x:c>
      <x:c r="C17" s="31" t="str">
        <x:v>Information Processing Skill</x:v>
      </x:c>
      <x:c r="D17" s="31" t="str">
        <x:v>Solve puzzles.</x:v>
      </x:c>
      <x:c r="E17" s="46" t="str">
        <x:v>GAME-CANDIDATE — STRONG</x:v>
      </x:c>
      <x:c r="F17" s="31" t="str">
        <x:v>Information Processing facet; performance method is not self-report equivalence</x:v>
      </x:c>
      <x:c r="G17" s="31" t="str">
        <x:v>Repair a 3×3 pipe/signal network by placing and rotating a complete piece set so endpoints connect, the valve is inline and no branch remains open.</x:v>
      </x:c>
      <x:c r="H17" s="31" t="str">
        <x:v>constraints_satisfied; open_branch_count; rotations; placements; valid_submission; completion</x:v>
      </x:c>
      <x:c r="I17" s="31" t="str">
        <x:v>Worked example; complete standardized set; connectivity validator; corrections allowed; no domain-specific symbols; accessible lane.</x:v>
      </x:c>
      <x:c r="J17" s="31" t="str">
        <x:v>Visuospatial ability; puzzle familiarity; motor/UI skill.</x:v>
      </x:c>
      <x:c r="K17" s="49" t="n">
        <x:v>90</x:v>
      </x:c>
      <x:c r="L17" s="31" t="str">
        <x:v>KEEP but fix usability: snap/rotate feedback, undo/reset, no sloppy hit targets.</x:v>
      </x:c>
      <x:c r="M17" s="31" t="str">
        <x:v>2 Records &amp; Workshop</x:v>
      </x:c>
      <x:c r="N17" s="31" t="str">
        <x:v>https://doi.org/10.1037/pspp0000401</x:v>
      </x:c>
    </x:row>
    <x:row r="18" ht="70" customHeight="1">
      <x:c r="A18" s="44" t="str">
        <x:v>M14</x:v>
      </x:c>
      <x:c r="B18" s="31" t="str">
        <x:v>BESSI-192</x:v>
      </x:c>
      <x:c r="C18" s="31" t="str">
        <x:v>Information Processing Skill</x:v>
      </x:c>
      <x:c r="D18" s="31" t="str">
        <x:v>Handle a lot of information.</x:v>
      </x:c>
      <x:c r="E18" s="46" t="str">
        <x:v>GAME-CANDIDATE — STRONG</x:v>
      </x:c>
      <x:c r="F18" s="31" t="str">
        <x:v>Information Processing facet; capacity/work-sample component</x:v>
      </x:c>
      <x:c r="G18" s="31" t="str">
        <x:v>One incident desk combines six messages, three gauges and one station diagram; assign faults and priorities while every source remains externally visible.</x:v>
      </x:c>
      <x:c r="H18" s="31" t="str">
        <x:v>source_case_links; omissions; unresolved_conflicts; final_assignments; source_consults</x:v>
      </x:c>
      <x:c r="I18" s="31" t="str">
        <x:v>All sources visible; reading load controlled; no memory requirement; display accessible; independent packet/window.</x:v>
      </x:c>
      <x:c r="J18" s="31" t="str">
        <x:v>Reading; interface navigation; strategy; overlap with M15 if relations are reused.</x:v>
      </x:c>
      <x:c r="K18" s="49" t="n">
        <x:v>65</x:v>
      </x:c>
      <x:c r="L18" s="31" t="str">
        <x:v>KEEP, but make it a spatial work surface rather than repetitive card prompts.</x:v>
      </x:c>
      <x:c r="M18" s="31" t="str">
        <x:v>1 Incident Handover</x:v>
      </x:c>
      <x:c r="N18" s="31" t="str">
        <x:v>https://doi.org/10.1037/pspp0000401</x:v>
      </x:c>
    </x:row>
    <x:row r="19" ht="70" customHeight="1">
      <x:c r="A19" s="44" t="str">
        <x:v>M15</x:v>
      </x:c>
      <x:c r="B19" s="31" t="str">
        <x:v>BESSI-192</x:v>
      </x:c>
      <x:c r="C19" s="31" t="str">
        <x:v>Information Processing Skill</x:v>
      </x:c>
      <x:c r="D19" s="31" t="str">
        <x:v>Make sense of complex information.</x:v>
      </x:c>
      <x:c r="E19" s="46" t="str">
        <x:v>GAME-CANDIDATE — STRONG</x:v>
      </x:c>
      <x:c r="F19" s="31" t="str">
        <x:v>Information Processing facet; relational synthesis component</x:v>
      </x:c>
      <x:c r="G19" s="31" t="str">
        <x:v>Build a compact causal subsystem model from independent evidence, then predict the effect of one intervention.</x:v>
      </x:c>
      <x:c r="H19" s="31" t="str">
        <x:v>required_causal_edges; invalid_edges; corrections; intervention_prediction_accuracy</x:v>
      </x:c>
      <x:c r="I19" s="31" t="str">
        <x:v>Independent case; diagram tutorial; domain-neutral semantics; all evidence obtainable; matched form.</x:v>
      </x:c>
      <x:c r="J19" s="31" t="str">
        <x:v>General reasoning; diagram literacy; reading.</x:v>
      </x:c>
      <x:c r="K19" s="49" t="n">
        <x:v>65</x:v>
      </x:c>
      <x:c r="L19" s="31" t="str">
        <x:v>KEEP; embed as one phase of the signal-decoder incident, not a separate room.</x:v>
      </x:c>
      <x:c r="M19" s="31" t="str">
        <x:v>3 Signal Analysis</x:v>
      </x:c>
      <x:c r="N19" s="31" t="str">
        <x:v>https://doi.org/10.1037/pspp0000401</x:v>
      </x:c>
    </x:row>
    <x:row r="20" ht="70" customHeight="1">
      <x:c r="A20" s="44" t="str">
        <x:v>M16</x:v>
      </x:c>
      <x:c r="B20" s="31" t="str">
        <x:v>BESSI-192</x:v>
      </x:c>
      <x:c r="C20" s="31" t="str">
        <x:v>Information Processing Skill</x:v>
      </x:c>
      <x:c r="D20" s="31" t="str">
        <x:v>Process new information.</x:v>
      </x:c>
      <x:c r="E20" s="46" t="str">
        <x:v>GAME-CANDIDATE — STRONG</x:v>
      </x:c>
      <x:c r="F20" s="31" t="str">
        <x:v>Information Processing facet; novel-rule component</x:v>
      </x:c>
      <x:c r="G20" s="31" t="str">
        <x:v>Learn a novel three-part alien/signal protocol and classify six unseen cases into process lanes using tokens or typed aliases.</x:v>
      </x:c>
      <x:c r="H20" s="31" t="str">
        <x:v>unseen_case_accuracy; rule_consistent_errors; corrections; study_time; reference_consults</x:v>
      </x:c>
      <x:c r="I20" s="31" t="str">
        <x:v>Protocol genuinely novel; example comprehension; matched forms; no prior route exposure to symbols.</x:v>
      </x:c>
      <x:c r="J20" s="31" t="str">
        <x:v>Reading; prior analogous knowledge; interface literacy.</x:v>
      </x:c>
      <x:c r="K20" s="49" t="n">
        <x:v>50</x:v>
      </x:c>
      <x:c r="L20" s="31" t="str">
        <x:v>KEEP; one concise tutorial, then unseen cases. Avoid repeated near-identical consoles.</x:v>
      </x:c>
      <x:c r="M20" s="31" t="str">
        <x:v>3 Signal Analysis</x:v>
      </x:c>
      <x:c r="N20" s="31" t="str">
        <x:v>https://doi.org/10.1037/pspp0000401</x:v>
      </x:c>
    </x:row>
    <x:row r="21" ht="70" customHeight="1">
      <x:c r="A21" s="44" t="str">
        <x:v>M17</x:v>
      </x:c>
      <x:c r="B21" s="31" t="str">
        <x:v>BESSI-192</x:v>
      </x:c>
      <x:c r="C21" s="31" t="str">
        <x:v>Information Processing Skill</x:v>
      </x:c>
      <x:c r="D21" s="31" t="str">
        <x:v>Learn things quickly.</x:v>
      </x:c>
      <x:c r="E21" s="46" t="str">
        <x:v>GAME-CANDIDATE — STRONG</x:v>
      </x:c>
      <x:c r="F21" s="31" t="str">
        <x:v>Information Processing facet; transfer, not speed alone</x:v>
      </x:c>
      <x:c r="G21" s="31" t="str">
        <x:v>Observe one demonstration, complete one guided practice, then solve a changed unassisted transfer case.</x:v>
      </x:c>
      <x:c r="H21" s="31" t="str">
        <x:v>practice_accuracy; transfer_first_attempt; transfer_correct_steps; hints_used; transfer_completion</x:v>
      </x:c>
      <x:c r="I21" s="31" t="str">
        <x:v>Novel mapping; practice criterion; changed transfer; floor/ceiling pilot; motor time not scored.</x:v>
      </x:c>
      <x:c r="J21" s="31" t="str">
        <x:v>Motor sequence ability; prior analogous experience; instruction comprehension.</x:v>
      </x:c>
      <x:c r="K21" s="49" t="n">
        <x:v>55</x:v>
      </x:c>
      <x:c r="L21" s="31" t="str">
        <x:v>KEEP and shorten to one demo + one practice + one changed transfer.</x:v>
      </x:c>
      <x:c r="M21" s="31" t="str">
        <x:v>3 Signal Analysis</x:v>
      </x:c>
      <x:c r="N21" s="31" t="str">
        <x:v>https://doi.org/10.1037/pspp0000401</x:v>
      </x:c>
    </x:row>
    <x:row r="22" ht="70" customHeight="1">
      <x:c r="A22" s="44" t="str">
        <x:v>M18</x:v>
      </x:c>
      <x:c r="B22" s="31" t="str">
        <x:v>BESSI-192</x:v>
      </x:c>
      <x:c r="C22" s="31" t="str">
        <x:v>Information Processing Skill</x:v>
      </x:c>
      <x:c r="D22" s="31" t="str">
        <x:v>Find logical solutions to problems.</x:v>
      </x:c>
      <x:c r="E22" s="46" t="str">
        <x:v>GAME-CANDIDATE — STRONG</x:v>
      </x:c>
      <x:c r="F22" s="31" t="str">
        <x:v>Information Processing facet; logical hypothesis-testing component</x:v>
      </x:c>
      <x:c r="G22" s="31" t="str">
        <x:v>Test reversible hypotheses against independent evidence panels, eliminate contradictions and submit the sole evidence-consistent fault.</x:v>
      </x:c>
      <x:c r="H22" s="31" t="str">
        <x:v>tests_selected; contradictions_eliminated; redundant_tests; evidence_consistent_steps; diagnosis_accuracy</x:v>
      </x:c>
      <x:c r="I22" s="31" t="str">
        <x:v>All evidence obtainable; no specialist knowledge; matched cases; independent from M13 state and events.</x:v>
      </x:c>
      <x:c r="J22" s="31" t="str">
        <x:v>General reasoning; search strategy; reading.</x:v>
      </x:c>
      <x:c r="K22" s="49" t="n">
        <x:v>65</x:v>
      </x:c>
      <x:c r="L22" s="31" t="str">
        <x:v>KEEP M18 here, not in the pipe puzzle; simplify UI and remove answer-card feel.</x:v>
      </x:c>
      <x:c r="M22" s="31" t="str">
        <x:v>3 Signal Analysis</x:v>
      </x:c>
      <x:c r="N22" s="31" t="str">
        <x:v>https://doi.org/10.1037/pspp0000401</x:v>
      </x:c>
    </x:row>
    <x:row r="23" ht="70" customHeight="1">
      <x:c r="A23" s="44" t="str">
        <x:v>M19</x:v>
      </x:c>
      <x:c r="B23" s="31" t="str">
        <x:v>Multidimensional Persistence Scale</x:v>
      </x:c>
      <x:c r="C23" s="31" t="str">
        <x:v>Persistence Despite Difficulty</x:v>
      </x:c>
      <x:c r="D23" s="31" t="str">
        <x:v>I keep on going when the going gets tough.</x:v>
      </x:c>
      <x:c r="E23" s="46" t="str">
        <x:v>GAME-CANDIDATE — STRONG</x:v>
      </x:c>
      <x:c r="F23" s="31" t="str">
        <x:v>PDD scale; attainable post-difficulty behavior</x:v>
      </x:c>
      <x:c r="G23" s="31" t="str">
        <x:v>Regulate a progressive valve/coupling task: resistance increases after initial progress, feedback stays informative and completion remains attainable.</x:v>
      </x:c>
      <x:c r="H23" s="31" t="str">
        <x:v>difficulty_onset; postdifficulty_reengagement; useful_attempts; progress; completion; stop_choice</x:v>
      </x:c>
      <x:c r="I23" s="31" t="str">
        <x:v>Difficulty understood; matched calibration; attainable endpoint; neutral stop; no zero-utility state.</x:v>
      </x:c>
      <x:c r="J23" s="31" t="str">
        <x:v>Ability; attainability belief; interest; frustration tolerance.</x:v>
      </x:c>
      <x:c r="K23" s="49" t="n">
        <x:v>50</x:v>
      </x:c>
      <x:c r="L23" s="31" t="str">
        <x:v>KEEP as physical mechanic; pilot adaptive band before interpreting persistence.</x:v>
      </x:c>
      <x:c r="M23" s="31" t="str">
        <x:v>4 Exterior Recovery</x:v>
      </x:c>
      <x:c r="N23" s="31" t="str">
        <x:v>https://doi.org/10.1016/j.paid.2018.11.005</x:v>
      </x:c>
    </x:row>
    <x:row r="24" ht="70" customHeight="1">
      <x:c r="A24" s="44" t="str">
        <x:v>M20</x:v>
      </x:c>
      <x:c r="B24" s="31" t="str">
        <x:v>Multidimensional Persistence Scale</x:v>
      </x:c>
      <x:c r="C24" s="31" t="str">
        <x:v>Persistence Despite Difficulty</x:v>
      </x:c>
      <x:c r="D24" s="31" t="str">
        <x:v>People describe me as someone who can stick at a task, even when it gets difficult.</x:v>
      </x:c>
      <x:c r="E24" s="46" t="str">
        <x:v>GAME-CANDIDATE — STRONG</x:v>
      </x:c>
      <x:c r="F24" s="31" t="str">
        <x:v>PDD scale; longitudinal return/completion component</x:v>
      </x:c>
      <x:c r="G24" s="31" t="str">
        <x:v>Begin a multi-stage antenna restoration, leave for one required intervening duty, then receive a natural opportunity to resume and finish.</x:v>
      </x:c>
      <x:c r="H24" s="31" t="str">
        <x:v>progress_pre_interruption; returned; resume_latency; useful_resume_actions; completion</x:v>
      </x:c>
      <x:c r="I24" s="31" t="str">
        <x:v>Task remains attainable/unchanged; guaranteed return route; identical interruption; state persists visibly.</x:v>
      </x:c>
      <x:c r="J24" s="31" t="str">
        <x:v>Prospective memory; navigation; project interest; ability.</x:v>
      </x:c>
      <x:c r="K24" s="49" t="n">
        <x:v>55</x:v>
      </x:c>
      <x:c r="L24" s="31" t="str">
        <x:v>KEEP and use it to justify one purposeful backtrack, not maze wandering.</x:v>
      </x:c>
      <x:c r="M24" s="31" t="str">
        <x:v>4 + 5</x:v>
      </x:c>
      <x:c r="N24" s="31" t="str">
        <x:v>https://doi.org/10.1016/j.paid.2018.11.005</x:v>
      </x:c>
    </x:row>
    <x:row r="25" ht="70" customHeight="1">
      <x:c r="A25" s="44" t="str">
        <x:v>M21</x:v>
      </x:c>
      <x:c r="B25" s="31" t="str">
        <x:v>Multidimensional Persistence Scale</x:v>
      </x:c>
      <x:c r="C25" s="31" t="str">
        <x:v>Persistence Despite Difficulty</x:v>
      </x:c>
      <x:c r="D25" s="31" t="str">
        <x:v>Even if it’s difficult to understand, I will read an entire book until I “get” it.</x:v>
      </x:c>
      <x:c r="E25" s="43" t="str">
        <x:v>GAME-CANDIDATE — CONDITIONAL</x:v>
      </x:c>
      <x:c r="F25" s="31" t="str">
        <x:v>PDD scale; understanding/application required; reading time alone prohibited</x:v>
      </x:c>
      <x:c r="G25" s="31" t="str">
        <x:v>Use a concise unfamiliar, cross-referenced manual (text + equivalent audio/diagram mode) to infer a rule and apply it to a novel repair.</x:v>
      </x:c>
      <x:c r="H25" s="31" t="str">
        <x:v>reference_sections_used; cross_reference_depth; reengagement; correct_rule_application; completion</x:v>
      </x:c>
      <x:c r="I25" s="31" t="str">
        <x:v>Language calibrated; accessible equivalent mode; application attainable; scrolling/reading duration never primary.</x:v>
      </x:c>
      <x:c r="J25" s="31" t="str">
        <x:v>Reading/language proficiency; working memory; domain familiarity.</x:v>
      </x:c>
      <x:c r="K25" s="49" t="n">
        <x:v>55</x:v>
      </x:c>
      <x:c r="L25" s="31" t="str">
        <x:v>REVISE for multimodal equivalence; drop if language effects dominate pilot data.</x:v>
      </x:c>
      <x:c r="M25" s="31" t="str">
        <x:v>5 Return &amp; Handover</x:v>
      </x:c>
      <x:c r="N25" s="31" t="str">
        <x:v>https://doi.org/10.1016/j.paid.2018.11.005</x:v>
      </x:c>
    </x:row>
    <x:row r="26" ht="70" customHeight="1">
      <x:c r="A26" s="44" t="str">
        <x:v>M22</x:v>
      </x:c>
      <x:c r="B26" s="31" t="str">
        <x:v>Multidimensional Persistence Scale</x:v>
      </x:c>
      <x:c r="C26" s="31" t="str">
        <x:v>Persistence Despite Difficulty</x:v>
      </x:c>
      <x:c r="D26" s="31" t="str">
        <x:v>Setbacks do not discourage me.</x:v>
      </x:c>
      <x:c r="E26" s="46" t="str">
        <x:v>GAME-CANDIDATE — STRONG</x:v>
      </x:c>
      <x:c r="F26" s="31" t="str">
        <x:v>PDD scale; standardized setback/recovery component</x:v>
      </x:c>
      <x:c r="G26" s="31" t="str">
        <x:v>Submit a reasonable report, receive a standardized newly revealed criterion, then revise and resubmit using actionable feedback.</x:v>
      </x:c>
      <x:c r="H26" s="31" t="str">
        <x:v>setback_presented; revision_started; feedback_consistent_edits; resubmitted; recovery_complete</x:v>
      </x:c>
      <x:c r="I26" s="31" t="str">
        <x:v>Initial response valid; feedback understood; recovery attainable; no blame framing; same criterion by form.</x:v>
      </x:c>
      <x:c r="J26" s="31" t="str">
        <x:v>Writing; attribution; feedback comprehension.</x:v>
      </x:c>
      <x:c r="K26" s="49" t="n">
        <x:v>50</x:v>
      </x:c>
      <x:c r="L26" s="31" t="str">
        <x:v>KEEP; use direct editing/assembly rather than four multiple-choice report cards.</x:v>
      </x:c>
      <x:c r="M26" s="31" t="str">
        <x:v>5 Return &amp; Handover</x:v>
      </x:c>
      <x:c r="N26" s="31" t="str">
        <x:v>https://doi.org/10.1016/j.paid.2018.11.005</x:v>
      </x:c>
    </x:row>
    <x:row r="27" ht="70" customHeight="1">
      <x:c r="A27" s="44" t="str">
        <x:v>M23</x:v>
      </x:c>
      <x:c r="B27" s="31" t="str">
        <x:v>Multidimensional Persistence Scale</x:v>
      </x:c>
      <x:c r="C27" s="31" t="str">
        <x:v>Persistence Despite Difficulty</x:v>
      </x:c>
      <x:c r="D27" s="31" t="str">
        <x:v>Even if something is hard, I will keep trying at it.</x:v>
      </x:c>
      <x:c r="E27" s="46" t="str">
        <x:v>GAME-CANDIDATE — STRONG</x:v>
      </x:c>
      <x:c r="F27" s="31" t="str">
        <x:v>PDD scale; useful adaptive retries only</x:v>
      </x:c>
      <x:c r="G27" s="31" t="str">
        <x:v>Scanner-guided excavation: use C-strength/bearing feedback to narrow a bounded field, then D-dig exact terrain cells to recover an attainable buried component.</x:v>
      </x:c>
      <x:c r="H27" s="31" t="str">
        <x:v>informative_scan_moves; signal_strength_changes; exact_dig_attempts; useful_strategy_shifts; recovery_complete</x:v>
      </x:c>
      <x:c r="I27" s="31" t="str">
        <x:v>Scanner tutorial passed; target fixed/counterbalanced; feedback truthful; task attainable; blind/random actions excluded; no M24 events.</x:v>
      </x:c>
      <x:c r="J27" s="31" t="str">
        <x:v>Spatial reasoning; navigation; control familiarity; search strategy.</x:v>
      </x:c>
      <x:c r="K27" s="49" t="n">
        <x:v>60</x:v>
      </x:c>
      <x:c r="L27" s="31" t="str">
        <x:v>PREFER current scan/dig mechanics over another pseudo-command console; keep item-local bounded field.</x:v>
      </x:c>
      <x:c r="M27" s="31" t="str">
        <x:v>4 Exterior Recovery</x:v>
      </x:c>
      <x:c r="N27" s="31" t="str">
        <x:v>https://doi.org/10.1016/j.paid.2018.11.005</x:v>
      </x:c>
    </x:row>
    <x:row r="28" ht="70" customHeight="1">
      <x:c r="A28" s="44" t="str">
        <x:v>M24</x:v>
      </x:c>
      <x:c r="B28" s="31" t="str">
        <x:v>Multidimensional Persistence Scale</x:v>
      </x:c>
      <x:c r="C28" s="31" t="str">
        <x:v>Inappropriate Persistence</x:v>
      </x:c>
      <x:c r="D28" s="31" t="str">
        <x:v>Sometimes I find myself continuing to do something, even when there is no point in carrying on.</x:v>
      </x:c>
      <x:c r="E28" s="46" t="str">
        <x:v>GAME-CANDIDATE — STRONG</x:v>
      </x:c>
      <x:c r="F28" s="31" t="str">
        <x:v>IP scale; behavior only after verified zero utility</x:v>
      </x:c>
      <x:c r="G28" s="31" t="str">
        <x:v>Metal Recovery Yard magnet rig: complete a finite useful deck; then show and acknowledge objective depletion while an equally visible useful alternative is available.</x:v>
      </x:c>
      <x:c r="H28" s="31" t="str">
        <x:v>depletion_reached; depletion_acknowledged; postdepletion_casts; identical_postdepletion_cycles; alternative_opened</x:v>
      </x:c>
      <x:c r="I28" s="31" t="str">
        <x:v>Finite deck advances consistently; zero utility objectively true; no random jackpot after depletion; comprehension confirmed; misses before depletion excluded.</x:v>
      </x:c>
      <x:c r="J28" s="31" t="str">
        <x:v>Signal trust; curiosity; learned reward history; timing-game skill.</x:v>
      </x:c>
      <x:c r="K28" s="49" t="n">
        <x:v>55</x:v>
      </x:c>
      <x:c r="L28" s="31" t="str">
        <x:v>KEEP magnet fishing; make deck/depletion state unambiguous and persist across room returns.</x:v>
      </x:c>
      <x:c r="M28" s="31" t="str">
        <x:v>4 Exterior Recovery</x:v>
      </x:c>
      <x:c r="N28" s="31" t="str">
        <x:v>https://doi.org/10.1016/j.paid.2018.11.005</x:v>
      </x:c>
    </x:row>
    <x:row r="29" ht="70" customHeight="1">
      <x:c r="A29" s="44" t="str">
        <x:v>M25</x:v>
      </x:c>
      <x:c r="B29" s="31" t="str">
        <x:v>Multidimensional Persistence Scale</x:v>
      </x:c>
      <x:c r="C29" s="31" t="str">
        <x:v>Inappropriate Persistence</x:v>
      </x:c>
      <x:c r="D29" s="31" t="str">
        <x:v>Sometimes I will keep doing the same thing over and over, but I believe that it is normal to do so.</x:v>
      </x:c>
      <x:c r="E29" s="48" t="str">
        <x:v>QUESTIONNAIRE-PRIMARY / HYBRID REQUIRED</x:v>
      </x:c>
      <x:c r="F29" s="31" t="str">
        <x:v>Private belief cannot be inferred from repetition</x:v>
      </x:c>
      <x:c r="G29" s="31" t="str">
        <x:v>A locked-command repetition task may remain exploratory, but interpretation requires the exact questionnaire item or a transparent direct belief/expectancy probe.</x:v>
      </x:c>
      <x:c r="H29" s="31" t="str">
        <x:v>secondary_unchanged_resubmits_after_lock; direct_belief_probe; lock_comprehension</x:v>
      </x:c>
      <x:c r="I29" s="31" t="str">
        <x:v>No game-only score; lock understood; bounce suppressed; reset visible; direct belief measure stored separately.</x:v>
      </x:c>
      <x:c r="J29" s="31" t="str">
        <x:v>Habit; interface error; curiosity; the source item's belief clause is unobserved behaviorally.</x:v>
      </x:c>
      <x:c r="K29" s="49" t="n">
        <x:v>0</x:v>
      </x:c>
      <x:c r="L29" s="31" t="str">
        <x:v>REMOVE primary game-only inference; retain exact questionnaire item and optional hybrid research probe.</x:v>
      </x:c>
      <x:c r="M29" s="31" t="str">
        <x:v>5 — questionnaire/hybrid</x:v>
      </x:c>
      <x:c r="N29" s="31" t="str">
        <x:v>https://doi.org/10.1016/j.paid.2018.11.005</x:v>
      </x:c>
    </x:row>
    <x:row r="30" ht="70" customHeight="1">
      <x:c r="A30" s="44" t="str">
        <x:v>M26</x:v>
      </x:c>
      <x:c r="B30" s="31" t="str">
        <x:v>Multidimensional Persistence Scale</x:v>
      </x:c>
      <x:c r="C30" s="31" t="str">
        <x:v>Inappropriate Persistence</x:v>
      </x:c>
      <x:c r="D30" s="31" t="str">
        <x:v>I will keep trying at something, even if I know my actions are worthless.</x:v>
      </x:c>
      <x:c r="E30" s="46" t="str">
        <x:v>GAME-CANDIDATE — STRONG</x:v>
      </x:c>
      <x:c r="F30" s="31" t="str">
        <x:v>IP scale; post-knowledge behavior only</x:v>
      </x:c>
      <x:c r="G30" s="31" t="str">
        <x:v>After one successful transmission, physically disconnect the channel, demonstrate and acknowledge the state, while a working alternative channel remains available.</x:v>
      </x:c>
      <x:c r="H30" s="31" t="str">
        <x:v>disconnect_acknowledged; confirmation_probe_excluded; postknowledge_transmissions; alternative_used</x:v>
      </x:c>
      <x:c r="I30" s="31" t="str">
        <x:v>Worthlessness beyond doubt; first confirmation probe excluded; alternative equally accessible; no hidden recovery.</x:v>
      </x:c>
      <x:c r="J30" s="31" t="str">
        <x:v>Signal trust; curiosity; desire to test once.</x:v>
      </x:c>
      <x:c r="K30" s="49" t="n">
        <x:v>40</x:v>
      </x:c>
      <x:c r="L30" s="31" t="str">
        <x:v>KEEP with explicit knowledge check and persistent physical disconnect state.</x:v>
      </x:c>
      <x:c r="M30" s="31" t="str">
        <x:v>4 Exterior Recovery</x:v>
      </x:c>
      <x:c r="N30" s="31" t="str">
        <x:v>https://doi.org/10.1016/j.paid.2018.11.005</x:v>
      </x:c>
    </x:row>
  </x:sheetData>
  <x:mergeCells>
    <x:mergeCell ref="A1:N1"/>
    <x:mergeCell ref="A2:N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6" hidden="0" customWidth="1"/>
    <x:col min="3" max="3" width="1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34" hidden="0" customWidth="1"/>
  </x:cols>
  <x:sheetData>
    <x:row r="1" ht="30" customHeight="1">
      <x:c r="A1" s="18" t="str">
        <x:v>Scale architecture — preserve source constructs and change the method honestly</x:v>
      </x:c>
      <x:c r="B1" s="18" t="str">
        <x:v>Scale architecture — preserve source constructs and change the method honestly</x:v>
      </x:c>
      <x:c r="C1" s="18" t="str">
        <x:v>Scale architecture — preserve source constructs and change the method honestly</x:v>
      </x:c>
      <x:c r="D1" s="18" t="str">
        <x:v>Scale architecture — preserve source constructs and change the method honestly</x:v>
      </x:c>
      <x:c r="E1" s="18" t="str">
        <x:v>Scale architecture — preserve source constructs and change the method honestly</x:v>
      </x:c>
      <x:c r="F1" s="18" t="str">
        <x:v>Scale architecture — preserve source constructs and change the method honestly</x:v>
      </x:c>
      <x:c r="G1" s="18" t="str">
        <x:v>Scale architecture — preserve source constructs and change the method honestly</x:v>
      </x:c>
      <x:c r="H1" s="18" t="str">
        <x:v>Scale architecture — preserve source constructs and change the method honestly</x:v>
      </x:c>
    </x:row>
    <x:row r="2" ht="34" customHeight="1">
      <x:c r="A2" s="21" t="str">
        <x:v>The game should be validated as a new behavioral method against the established self-report instruments. Item-owned windows protect provenance; they do not prove 26 separate latent variables.</x:v>
      </x:c>
      <x:c r="B2" s="21" t="str">
        <x:v>The game should be validated as a new behavioral method against the established self-report instruments. Item-owned windows protect provenance; they do not prove 26 separate latent variables.</x:v>
      </x:c>
      <x:c r="C2" s="21" t="str">
        <x:v>The game should be validated as a new behavioral method against the established self-report instruments. Item-owned windows protect provenance; they do not prove 26 separate latent variables.</x:v>
      </x:c>
      <x:c r="D2" s="21" t="str">
        <x:v>The game should be validated as a new behavioral method against the established self-report instruments. Item-owned windows protect provenance; they do not prove 26 separate latent variables.</x:v>
      </x:c>
      <x:c r="E2" s="21" t="str">
        <x:v>The game should be validated as a new behavioral method against the established self-report instruments. Item-owned windows protect provenance; they do not prove 26 separate latent variables.</x:v>
      </x:c>
      <x:c r="F2" s="21" t="str">
        <x:v>The game should be validated as a new behavioral method against the established self-report instruments. Item-owned windows protect provenance; they do not prove 26 separate latent variables.</x:v>
      </x:c>
      <x:c r="G2" s="21" t="str">
        <x:v>The game should be validated as a new behavioral method against the established self-report instruments. Item-owned windows protect provenance; they do not prove 26 separate latent variables.</x:v>
      </x:c>
      <x:c r="H2" s="21" t="str">
        <x:v>The game should be validated as a new behavioral method against the established self-report instruments. Item-owned windows protect provenance; they do not prove 26 separate latent variables.</x:v>
      </x:c>
    </x:row>
    <x:row r="3" ht="34" customHeight="1">
      <x:c r="A3" s="21" t="str">
        <x:v>The game should be validated as a new behavioral method against the established self-report instruments. Item-owned windows protect provenance; they do not prove 26 separate latent variables.</x:v>
      </x:c>
      <x:c r="B3" s="21" t="str">
        <x:v>The game should be validated as a new behavioral method against the established self-report instruments. Item-owned windows protect provenance; they do not prove 26 separate latent variables.</x:v>
      </x:c>
      <x:c r="C3" s="21" t="str">
        <x:v>The game should be validated as a new behavioral method against the established self-report instruments. Item-owned windows protect provenance; they do not prove 26 separate latent variables.</x:v>
      </x:c>
      <x:c r="D3" s="21" t="str">
        <x:v>The game should be validated as a new behavioral method against the established self-report instruments. Item-owned windows protect provenance; they do not prove 26 separate latent variables.</x:v>
      </x:c>
      <x:c r="E3" s="21" t="str">
        <x:v>The game should be validated as a new behavioral method against the established self-report instruments. Item-owned windows protect provenance; they do not prove 26 separate latent variables.</x:v>
      </x:c>
      <x:c r="F3" s="21" t="str">
        <x:v>The game should be validated as a new behavioral method against the established self-report instruments. Item-owned windows protect provenance; they do not prove 26 separate latent variables.</x:v>
      </x:c>
      <x:c r="G3" s="21" t="str">
        <x:v>The game should be validated as a new behavioral method against the established self-report instruments. Item-owned windows protect provenance; they do not prove 26 separate latent variables.</x:v>
      </x:c>
      <x:c r="H3" s="21" t="str">
        <x:v>The game should be validated as a new behavioral method against the established self-report instruments. Item-owned windows protect provenance; they do not prove 26 separate latent variables.</x:v>
      </x:c>
    </x:row>
    <x:row r="4" ht="34" customHeight="1">
      <x:c r="A4" s="41" t="str">
        <x:v>Instrument</x:v>
      </x:c>
      <x:c r="B4" s="41" t="str">
        <x:v>Facet / scale</x:v>
      </x:c>
      <x:c r="C4" s="41" t="str">
        <x:v>Items</x:v>
      </x:c>
      <x:c r="D4" s="41" t="str">
        <x:v>Source construct</x:v>
      </x:c>
      <x:c r="E4" s="41" t="str">
        <x:v>First analysis level</x:v>
      </x:c>
      <x:c r="F4" s="41" t="str">
        <x:v>Questionnaire role</x:v>
      </x:c>
      <x:c r="G4" s="41" t="str">
        <x:v>Critical rule</x:v>
      </x:c>
      <x:c r="H4" s="41" t="str">
        <x:v>Source</x:v>
      </x:c>
    </x:row>
    <x:row r="5">
      <x:c r="A5" s="34" t="str">
        <x:v>BFI-2 Conscientiousness</x:v>
      </x:c>
      <x:c r="B5" s="34" t="str">
        <x:v>Organization</x:v>
      </x:c>
      <x:c r="C5" s="34" t="str">
        <x:v>M01–M04</x:v>
      </x:c>
      <x:c r="D5" s="34" t="str">
        <x:v>Typical behavior / trait facet</x:v>
      </x:c>
      <x:c r="E5" s="34" t="str">
        <x:v>Facet-level convergence first; item components exploratory</x:v>
      </x:c>
      <x:c r="F5" s="34" t="str">
        <x:v>Retain all four exact items in questionnaire</x:v>
      </x:c>
      <x:c r="G5" s="34" t="str">
        <x:v>One task cannot validate a trait; aggregate item-owned observations without sharing the same raw event</x:v>
      </x:c>
      <x:c r="H5" s="34" t="str">
        <x:v>https://doi.org/10.1037/pspp0000096</x:v>
      </x:c>
    </x:row>
    <x:row r="6">
      <x:c r="A6" s="35" t="str">
        <x:v>BFI-2 Conscientiousness</x:v>
      </x:c>
      <x:c r="B6" s="35" t="str">
        <x:v>Productiveness</x:v>
      </x:c>
      <x:c r="C6" s="35" t="str">
        <x:v>M05–M08</x:v>
      </x:c>
      <x:c r="D6" s="35" t="str">
        <x:v>Typical behavior / trait facet</x:v>
      </x:c>
      <x:c r="E6" s="35" t="str">
        <x:v>Facet-level convergence first; M08 questionnaire-primary</x:v>
      </x:c>
      <x:c r="F6" s="35" t="str">
        <x:v>Retain all four exact items in questionnaire</x:v>
      </x:c>
      <x:c r="G6" s="35" t="str">
        <x:v>Ability, motivation and situational strength are strong rivals</x:v>
      </x:c>
      <x:c r="H6" s="35" t="str">
        <x:v>https://doi.org/10.1037/pspp0000096</x:v>
      </x:c>
    </x:row>
    <x:row r="7">
      <x:c r="A7" s="34" t="str">
        <x:v>BFI-2 Conscientiousness</x:v>
      </x:c>
      <x:c r="B7" s="34" t="str">
        <x:v>Responsibility</x:v>
      </x:c>
      <x:c r="C7" s="34" t="str">
        <x:v>M09–M12</x:v>
      </x:c>
      <x:c r="D7" s="34" t="str">
        <x:v>Typical behavior / trait facet</x:v>
      </x:c>
      <x:c r="E7" s="34" t="str">
        <x:v>Facet-level convergence first; M11 questionnaire-primary</x:v>
      </x:c>
      <x:c r="F7" s="34" t="str">
        <x:v>Retain all four exact items in questionnaire</x:v>
      </x:c>
      <x:c r="G7" s="34" t="str">
        <x:v>Use accepted obligations and repeated occasions; do not equate one compliance act with a broad trait</x:v>
      </x:c>
      <x:c r="H7" s="34" t="str">
        <x:v>https://doi.org/10.1037/pspp0000096</x:v>
      </x:c>
    </x:row>
    <x:row r="8">
      <x:c r="A8" s="35" t="str">
        <x:v>BESSI-192</x:v>
      </x:c>
      <x:c r="B8" s="35" t="str">
        <x:v>Information Processing Skill</x:v>
      </x:c>
      <x:c r="C8" s="35" t="str">
        <x:v>M13–M18</x:v>
      </x:c>
      <x:c r="D8" s="35" t="str">
        <x:v>Self-perceived capacity / skill facet</x:v>
      </x:c>
      <x:c r="E8" s="35" t="str">
        <x:v>One facet model with six task components; performance method is a new measure</x:v>
      </x:c>
      <x:c r="F8" s="35" t="str">
        <x:v>Retain the six exact BESSI-192 items as validation criteria</x:v>
      </x:c>
      <x:c r="G8" s="35" t="str">
        <x:v>Uploaded BESSI short-form paper contains only three of these six; cite the original BESSI-192</x:v>
      </x:c>
      <x:c r="H8" s="35" t="str">
        <x:v>https://doi.org/10.1037/pspp0000401</x:v>
      </x:c>
    </x:row>
    <x:row r="9">
      <x:c r="A9" s="34" t="str">
        <x:v>Multidimensional Persistence Scale</x:v>
      </x:c>
      <x:c r="B9" s="34" t="str">
        <x:v>Persistence Despite Difficulty</x:v>
      </x:c>
      <x:c r="C9" s="34" t="str">
        <x:v>M19–M23</x:v>
      </x:c>
      <x:c r="D9" s="34" t="str">
        <x:v>Trait dimension</x:v>
      </x:c>
      <x:c r="E9" s="34" t="str">
        <x:v>PDD scale-level model; useful/attainable effort only</x:v>
      </x:c>
      <x:c r="F9" s="34" t="str">
        <x:v>Retain all five exact PDD items</x:v>
      </x:c>
      <x:c r="G9" s="34" t="str">
        <x:v>Task persistence is state- and challenge-dependent; useful progress must be distinguished from time-on-task</x:v>
      </x:c>
      <x:c r="H9" s="34" t="str">
        <x:v>https://doi.org/10.1016/j.paid.2018.11.005</x:v>
      </x:c>
    </x:row>
    <x:row r="10">
      <x:c r="A10" s="35" t="str">
        <x:v>Multidimensional Persistence Scale</x:v>
      </x:c>
      <x:c r="B10" s="35" t="str">
        <x:v>Inappropriate Persistence</x:v>
      </x:c>
      <x:c r="C10" s="35" t="str">
        <x:v>M24–M26</x:v>
      </x:c>
      <x:c r="D10" s="35" t="str">
        <x:v>Trait dimension</x:v>
      </x:c>
      <x:c r="E10" s="35" t="str">
        <x:v>IP scale-level model; verified futility/knowledge required</x:v>
      </x:c>
      <x:c r="F10" s="35" t="str">
        <x:v>Retain all three exact IP items; M25 remains questionnaire/hybrid</x:v>
      </x:c>
      <x:c r="G10" s="35" t="str">
        <x:v>M24–M26 must not share raw attempts; zero utility and knowledge are different preconditions</x:v>
      </x:c>
      <x:c r="H10" s="35" t="str">
        <x:v>https://doi.org/10.1016/j.paid.2018.11.005</x:v>
      </x:c>
    </x:row>
    <x:row r="12">
      <x:c r="A12" s="23" t="str">
        <x:v>PRE-REGISTERED ANALYSIS ORDER</x:v>
      </x:c>
      <x:c r="B12" s="23"/>
      <x:c r="C12" s="23"/>
      <x:c r="D12" s="23"/>
      <x:c r="E12" s="23"/>
      <x:c r="F12" s="23"/>
      <x:c r="G12" s="23"/>
      <x:c r="H12" s="23"/>
    </x:row>
    <x:row r="13">
      <x:c r="A13" s="34" t="str">
        <x:v>1</x:v>
      </x:c>
      <x:c r="B13" s="34" t="str">
        <x:v>Data quality</x:v>
      </x:c>
      <x:c r="C13" s="34" t="str">
        <x:v>Opportunity presentation, comprehension, access, input focus, logging and technical state</x:v>
      </x:c>
      <x:c r="D13" s="34" t="str">
        <x:v>Invalid/missing only</x:v>
      </x:c>
    </x:row>
    <x:row r="14">
      <x:c r="A14" s="35" t="str">
        <x:v>2</x:v>
      </x:c>
      <x:c r="B14" s="35" t="str">
        <x:v>Component distributions</x:v>
      </x:c>
      <x:c r="C14" s="35" t="str">
        <x:v>Variance, censoring, floor/ceiling, outliers and form balance</x:v>
      </x:c>
      <x:c r="D14" s="35" t="str">
        <x:v>No trait labels</x:v>
      </x:c>
    </x:row>
    <x:row r="15">
      <x:c r="A15" s="34" t="str">
        <x:v>3</x:v>
      </x:c>
      <x:c r="B15" s="34" t="str">
        <x:v>Reliability/generalizability</x:v>
      </x:c>
      <x:c r="C15" s="34" t="str">
        <x:v>Repeated occasions and form/person/task variance where design permits</x:v>
      </x:c>
      <x:c r="D15" s="34" t="str">
        <x:v>Drop unstable components</x:v>
      </x:c>
    </x:row>
    <x:row r="16">
      <x:c r="A16" s="35" t="str">
        <x:v>4</x:v>
      </x:c>
      <x:c r="B16" s="35" t="str">
        <x:v>Convergence/discrimination</x:v>
      </x:c>
      <x:c r="C16" s="35" t="str">
        <x:v>Relationships with exact source scale/facet scores and competing ability/gaming/language measures</x:v>
      </x:c>
      <x:c r="D16" s="35" t="str">
        <x:v>Reject broad claims when rivals dominate</x:v>
      </x:c>
    </x:row>
    <x:row r="17">
      <x:c r="A17" s="34" t="str">
        <x:v>5</x:v>
      </x:c>
      <x:c r="B17" s="34" t="str">
        <x:v>Fairness/accessibility</x:v>
      </x:c>
      <x:c r="C17" s="34" t="str">
        <x:v>Mode equivalence, subgroup/DIF diagnostics, device and game-experience moderation</x:v>
      </x:c>
      <x:c r="D17" s="34" t="str">
        <x:v>No unsupported equivalence</x:v>
      </x:c>
    </x:row>
    <x:row r="18">
      <x:c r="A18" s="35" t="str">
        <x:v>6</x:v>
      </x:c>
      <x:c r="B18" s="35" t="str">
        <x:v>Criterion evidence</x:v>
      </x:c>
      <x:c r="C18" s="35" t="str">
        <x:v>Job-analysis-supported outcomes, cross-validation and incremental validity</x:v>
      </x:c>
      <x:c r="D18" s="35" t="str">
        <x:v>Required before selection use</x:v>
      </x:c>
    </x:row>
  </x:sheetData>
  <x:mergeCells>
    <x:mergeCell ref="A1:H1"/>
    <x:mergeCell ref="A2:H3"/>
    <x:mergeCell ref="A12:H1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0" hidden="0" customWidth="1"/>
    <x:col min="3" max="3" width="55" hidden="0" customWidth="1"/>
    <x:col min="4" max="4" width="30" hidden="0" customWidth="1"/>
    <x:col min="5" max="5" width="52" hidden="0" customWidth="1"/>
    <x:col min="6" max="6" width="12" hidden="0" customWidth="1"/>
    <x:col min="7" max="7" width="48" hidden="0" customWidth="1"/>
  </x:cols>
  <x:sheetData>
    <x:row r="1" ht="30" customHeight="1">
      <x:c r="A1" s="18" t="str">
        <x:v>Cohesive route — five assessment episodes plus one non-scored finale</x:v>
      </x:c>
      <x:c r="B1" s="18" t="str">
        <x:v>Cohesive route — five assessment episodes plus one non-scored finale</x:v>
      </x:c>
      <x:c r="C1" s="18" t="str">
        <x:v>Cohesive route — five assessment episodes plus one non-scored finale</x:v>
      </x:c>
      <x:c r="D1" s="18" t="str">
        <x:v>Cohesive route — five assessment episodes plus one non-scored finale</x:v>
      </x:c>
      <x:c r="E1" s="18" t="str">
        <x:v>Cohesive route — five assessment episodes plus one non-scored finale</x:v>
      </x:c>
      <x:c r="F1" s="18" t="str">
        <x:v>Cohesive route — five assessment episodes plus one non-scored finale</x:v>
      </x:c>
      <x:c r="G1" s="18" t="str">
        <x:v>Cohesive route — five assessment episodes plus one non-scored finale</x:v>
      </x:c>
    </x:row>
    <x:row r="2" ht="34" customHeight="1">
      <x:c r="A2" s="21" t="str">
        <x:v>This is a route and burden architecture, not permission to reuse evidence. A single episode may host multiple independent windows only when each uses distinct task objects, variables and validity state.</x:v>
      </x:c>
      <x:c r="B2" s="21" t="str">
        <x:v>This is a route and burden architecture, not permission to reuse evidence. A single episode may host multiple independent windows only when each uses distinct task objects, variables and validity state.</x:v>
      </x:c>
      <x:c r="C2" s="21" t="str">
        <x:v>This is a route and burden architecture, not permission to reuse evidence. A single episode may host multiple independent windows only when each uses distinct task objects, variables and validity state.</x:v>
      </x:c>
      <x:c r="D2" s="21" t="str">
        <x:v>This is a route and burden architecture, not permission to reuse evidence. A single episode may host multiple independent windows only when each uses distinct task objects, variables and validity state.</x:v>
      </x:c>
      <x:c r="E2" s="21" t="str">
        <x:v>This is a route and burden architecture, not permission to reuse evidence. A single episode may host multiple independent windows only when each uses distinct task objects, variables and validity state.</x:v>
      </x:c>
      <x:c r="F2" s="21" t="str">
        <x:v>This is a route and burden architecture, not permission to reuse evidence. A single episode may host multiple independent windows only when each uses distinct task objects, variables and validity state.</x:v>
      </x:c>
      <x:c r="G2" s="21" t="str">
        <x:v>This is a route and burden architecture, not permission to reuse evidence. A single episode may host multiple independent windows only when each uses distinct task objects, variables and validity state.</x:v>
      </x:c>
    </x:row>
    <x:row r="3" ht="34" customHeight="1">
      <x:c r="A3" s="21" t="str">
        <x:v>This is a route and burden architecture, not permission to reuse evidence. A single episode may host multiple independent windows only when each uses distinct task objects, variables and validity state.</x:v>
      </x:c>
      <x:c r="B3" s="21" t="str">
        <x:v>This is a route and burden architecture, not permission to reuse evidence. A single episode may host multiple independent windows only when each uses distinct task objects, variables and validity state.</x:v>
      </x:c>
      <x:c r="C3" s="21" t="str">
        <x:v>This is a route and burden architecture, not permission to reuse evidence. A single episode may host multiple independent windows only when each uses distinct task objects, variables and validity state.</x:v>
      </x:c>
      <x:c r="D3" s="21" t="str">
        <x:v>This is a route and burden architecture, not permission to reuse evidence. A single episode may host multiple independent windows only when each uses distinct task objects, variables and validity state.</x:v>
      </x:c>
      <x:c r="E3" s="21" t="str">
        <x:v>This is a route and burden architecture, not permission to reuse evidence. A single episode may host multiple independent windows only when each uses distinct task objects, variables and validity state.</x:v>
      </x:c>
      <x:c r="F3" s="21" t="str">
        <x:v>This is a route and burden architecture, not permission to reuse evidence. A single episode may host multiple independent windows only when each uses distinct task objects, variables and validity state.</x:v>
      </x:c>
      <x:c r="G3" s="21" t="str">
        <x:v>This is a route and burden architecture, not permission to reuse evidence. A single episode may host multiple independent windows only when each uses distinct task objects, variables and validity state.</x:v>
      </x:c>
    </x:row>
    <x:row r="4" ht="34" customHeight="1">
      <x:c r="A4" s="41" t="str">
        <x:v>Order</x:v>
      </x:c>
      <x:c r="B4" s="41" t="str">
        <x:v>Episode</x:v>
      </x:c>
      <x:c r="C4" s="41" t="str">
        <x:v>Location</x:v>
      </x:c>
      <x:c r="D4" s="41" t="str">
        <x:v>Item windows</x:v>
      </x:c>
      <x:c r="E4" s="41" t="str">
        <x:v>Participant flow</x:v>
      </x:c>
      <x:c r="F4" s="41" t="str">
        <x:v>Target sec</x:v>
      </x:c>
      <x:c r="G4" s="41" t="str">
        <x:v>Design constraint</x:v>
      </x:c>
    </x:row>
    <x:row r="5">
      <x:c r="A5" s="34" t="n">
        <x:v>1</x:v>
      </x:c>
      <x:c r="B5" s="34" t="str">
        <x:v>Storm Arrival &amp; Incident Handover</x:v>
      </x:c>
      <x:c r="C5" s="34" t="str">
        <x:v>Station Concourse / Incident Desk</x:v>
      </x:c>
      <x:c r="D5" s="34" t="str">
        <x:v>M01, M05(1), M09-start, M10-start, M12(1), M14</x:v>
      </x:c>
      <x:c r="E5" s="34" t="str">
        <x:v>Briefing → plan board → independent QC packet → multi-source incident desk → accept monitor/promise</x:v>
      </x:c>
      <x:c r="F5" s="34" t="n">
        <x:v>240</x:v>
      </x:c>
      <x:c r="G5" s="34" t="str">
        <x:v>One objective line; all packets on one work surface; no scored action gates another item window.</x:v>
      </x:c>
    </x:row>
    <x:row r="6">
      <x:c r="A6" s="35" t="n">
        <x:v>2</x:v>
      </x:c>
      <x:c r="B6" s="35" t="str">
        <x:v>Records &amp; Workshop Restoration</x:v>
      </x:c>
      <x:c r="C6" s="35" t="str">
        <x:v>Records Workshop</x:v>
      </x:c>
      <x:c r="D6" s="35" t="str">
        <x:v>M02, M03(1), M04, M06, M07-start, M11-secondary, M13</x:v>
      </x:c>
      <x:c r="E6" s="35" t="str">
        <x:v>Manage cases → retrieve files → routine dispatch → pipe repair → optional reset/debris cleanup</x:v>
      </x:c>
      <x:c r="F6" s="35" t="n">
        <x:v>315</x:v>
      </x:c>
      <x:c r="G6" s="35" t="str">
        <x:v>Inventory/drag-drop is the shared interface, but each opportunity owns different objects/events.</x:v>
      </x:c>
    </x:row>
    <x:row r="7">
      <x:c r="A7" s="34" t="n">
        <x:v>3</x:v>
      </x:c>
      <x:c r="B7" s="34" t="str">
        <x:v>Signal Analysis Incident</x:v>
      </x:c>
      <x:c r="C7" s="34" t="str">
        <x:v>Diagnostics Laboratory</x:v>
      </x:c>
      <x:c r="D7" s="34" t="str">
        <x:v>M15, M16, M17, M18</x:v>
      </x:c>
      <x:c r="E7" s="34" t="str">
        <x:v>Causal model → novel protocol → demo/practice/transfer → hypothesis diagnosis</x:v>
      </x:c>
      <x:c r="F7" s="34" t="n">
        <x:v>235</x:v>
      </x:c>
      <x:c r="G7" s="34" t="str">
        <x:v>One coherent alien-signal case with visually distinct phases; eliminate six repetitive modal consoles.</x:v>
      </x:c>
    </x:row>
    <x:row r="8">
      <x:c r="A8" s="35" t="n">
        <x:v>4</x:v>
      </x:c>
      <x:c r="B8" s="35" t="str">
        <x:v>Exterior Recovery</x:v>
      </x:c>
      <x:c r="C8" s="35" t="str">
        <x:v>Recovery Yard + Metal Yard</x:v>
      </x:c>
      <x:c r="D8" s="35" t="str">
        <x:v>M05(2), M19, M20-start, M23, M24, M26</x:v>
      </x:c>
      <x:c r="E8" s="35" t="str">
        <x:v>Valve difficulty → antenna start → scan/dig recovery → magnet deck/depletion → disconnected channel</x:v>
      </x:c>
      <x:c r="F8" s="35" t="n">
        <x:v>300</x:v>
      </x:c>
      <x:c r="G8" s="35" t="str">
        <x:v>Bounded exterior subareas with clear landmarks; C/D work anywhere only as gameplay, item evidence only inside marked windows.</x:v>
      </x:c>
    </x:row>
    <x:row r="9">
      <x:c r="A9" s="34" t="n">
        <x:v>5</x:v>
      </x:c>
      <x:c r="B9" s="34" t="str">
        <x:v>Return, Revision &amp; Handover</x:v>
      </x:c>
      <x:c r="C9" s="34" t="str">
        <x:v>Hub / Workshop Return</x:v>
      </x:c>
      <x:c r="D9" s="34" t="str">
        <x:v>M03(2), M07-end, M09-end, M10-end, M20-end, M21, M22, M25 questionnaire</x:v>
      </x:c>
      <x:c r="E9" s="34" t="str">
        <x:v>Purposeful return → fulfill obligations → manual-based repair → setback/revision → direct M25 item</x:v>
      </x:c>
      <x:c r="F9" s="34" t="n">
        <x:v>265</x:v>
      </x:c>
      <x:c r="G9" s="34" t="str">
        <x:v>One deliberate backtrack supports prospective-memory opportunities; no maze or hidden route.</x:v>
      </x:c>
    </x:row>
    <x:row r="10">
      <x:c r="A10" s="35" t="n">
        <x:v>6</x:v>
      </x:c>
      <x:c r="B10" s="35" t="str">
        <x:v>Utility &amp; Core Closure</x:v>
      </x:c>
      <x:c r="C10" s="35" t="str">
        <x:v>Utility Deck → Core Chamber</x:v>
      </x:c>
      <x:c r="D10" s="35" t="str">
        <x:v>NONE — non-scored closure</x:v>
      </x:c>
      <x:c r="E10" s="35" t="str">
        <x:v>Open coolant valve → set calibration breaker → connect distribution bus → review/confirm → visible core stabilization</x:v>
      </x:c>
      <x:c r="F10" s="35" t="n">
        <x:v>75</x:v>
      </x:c>
      <x:c r="G10" s="35" t="str">
        <x:v>Professional payoff only. No new trait inference, no click-card answer test, no irreversible early completion.</x:v>
      </x:c>
    </x:row>
    <x:row r="12" ht="34" customHeight="1">
      <x:c r="A12" s="41" t="str">
        <x:v>Route rule</x:v>
      </x:c>
      <x:c r="B12" s="41" t="str">
        <x:v>Required implementation</x:v>
      </x:c>
      <x:c r="C12" s="41" t="str">
        <x:v>Scientific reason</x:v>
      </x:c>
    </x:row>
    <x:row r="13">
      <x:c r="A13" s="31" t="str">
        <x:v>Topology</x:v>
      </x:c>
      <x:c r="B13" s="31" t="str">
        <x:v>Hub-and-loop with bidirectional doors and one purposeful return; no one-way Core trap</x:v>
      </x:c>
      <x:c r="C13" s="31" t="str">
        <x:v>Navigation failure must not masquerade as a trait</x:v>
      </x:c>
    </x:row>
    <x:row r="14">
      <x:c r="A14" s="31" t="str">
        <x:v>Guidance</x:v>
      </x:c>
      <x:c r="B14" s="31" t="str">
        <x:v>One current objective, world beacon, concise mission log, optional map; no stacked task paragraphs</x:v>
      </x:c>
      <x:c r="C14" s="31" t="str">
        <x:v>Reduce comprehension/working-memory contamination</x:v>
      </x:c>
    </x:row>
    <x:row r="15">
      <x:c r="A15" s="31" t="str">
        <x:v>Field actions</x:v>
      </x:c>
      <x:c r="B15" s="31" t="str">
        <x:v>C scan and D dig work as general gameplay; primary evidence only inside registered item windows</x:v>
      </x:c>
      <x:c r="C15" s="31" t="str">
        <x:v>Avoid post-hoc global diligence/persistence scores</x:v>
      </x:c>
    </x:row>
    <x:row r="16">
      <x:c r="A16" s="31" t="str">
        <x:v>Completion</x:v>
      </x:c>
      <x:c r="B16" s="31" t="str">
        <x:v>Core unlocks only after all required windows are completed/missing/invalid; physical feed sequence is non-scored</x:v>
      </x:c>
      <x:c r="C16" s="31" t="str">
        <x:v>Prevents early irreversible termination and construct stuffing</x:v>
      </x:c>
    </x:row>
  </x:sheetData>
  <x:mergeCells>
    <x:mergeCell ref="A1:G1"/>
    <x:mergeCell ref="A2:G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24" hidden="0" customWidth="1"/>
    <x:col min="4" max="4" width="52" hidden="0" customWidth="1"/>
    <x:col min="5" max="5" width="56" hidden="0" customWidth="1"/>
    <x:col min="6" max="6" width="42" hidden="0" customWidth="1"/>
  </x:cols>
  <x:sheetData>
    <x:row r="1" ht="30" customHeight="1">
      <x:c r="A1" s="18" t="str">
        <x:v>Uploaded-paper evidence map — what each source can and cannot support</x:v>
      </x:c>
      <x:c r="B1" s="18" t="str">
        <x:v>Uploaded-paper evidence map — what each source can and cannot support</x:v>
      </x:c>
      <x:c r="C1" s="18" t="str">
        <x:v>Uploaded-paper evidence map — what each source can and cannot support</x:v>
      </x:c>
      <x:c r="D1" s="18" t="str">
        <x:v>Uploaded-paper evidence map — what each source can and cannot support</x:v>
      </x:c>
      <x:c r="E1" s="18" t="str">
        <x:v>Uploaded-paper evidence map — what each source can and cannot support</x:v>
      </x:c>
      <x:c r="F1" s="18" t="str">
        <x:v>Uploaded-paper evidence map — what each source can and cannot support</x:v>
      </x:c>
    </x:row>
    <x:row r="2" ht="34" customHeight="1">
      <x:c r="A2" s="21" t="str">
        <x:v>Evidence was classified by its actual design. Engagement and educational-gamification papers can guide experience design, but they do not establish construct validity. Duplicate files are not counted twice.</x:v>
      </x:c>
      <x:c r="B2" s="21" t="str">
        <x:v>Evidence was classified by its actual design. Engagement and educational-gamification papers can guide experience design, but they do not establish construct validity. Duplicate files are not counted twice.</x:v>
      </x:c>
      <x:c r="C2" s="21" t="str">
        <x:v>Evidence was classified by its actual design. Engagement and educational-gamification papers can guide experience design, but they do not establish construct validity. Duplicate files are not counted twice.</x:v>
      </x:c>
      <x:c r="D2" s="21" t="str">
        <x:v>Evidence was classified by its actual design. Engagement and educational-gamification papers can guide experience design, but they do not establish construct validity. Duplicate files are not counted twice.</x:v>
      </x:c>
      <x:c r="E2" s="21" t="str">
        <x:v>Evidence was classified by its actual design. Engagement and educational-gamification papers can guide experience design, but they do not establish construct validity. Duplicate files are not counted twice.</x:v>
      </x:c>
      <x:c r="F2" s="21" t="str">
        <x:v>Evidence was classified by its actual design. Engagement and educational-gamification papers can guide experience design, but they do not establish construct validity. Duplicate files are not counted twice.</x:v>
      </x:c>
    </x:row>
    <x:row r="3" ht="34" customHeight="1">
      <x:c r="A3" s="21" t="str">
        <x:v>Evidence was classified by its actual design. Engagement and educational-gamification papers can guide experience design, but they do not establish construct validity. Duplicate files are not counted twice.</x:v>
      </x:c>
      <x:c r="B3" s="21" t="str">
        <x:v>Evidence was classified by its actual design. Engagement and educational-gamification papers can guide experience design, but they do not establish construct validity. Duplicate files are not counted twice.</x:v>
      </x:c>
      <x:c r="C3" s="21" t="str">
        <x:v>Evidence was classified by its actual design. Engagement and educational-gamification papers can guide experience design, but they do not establish construct validity. Duplicate files are not counted twice.</x:v>
      </x:c>
      <x:c r="D3" s="21" t="str">
        <x:v>Evidence was classified by its actual design. Engagement and educational-gamification papers can guide experience design, but they do not establish construct validity. Duplicate files are not counted twice.</x:v>
      </x:c>
      <x:c r="E3" s="21" t="str">
        <x:v>Evidence was classified by its actual design. Engagement and educational-gamification papers can guide experience design, but they do not establish construct validity. Duplicate files are not counted twice.</x:v>
      </x:c>
      <x:c r="F3" s="21" t="str">
        <x:v>Evidence was classified by its actual design. Engagement and educational-gamification papers can guide experience design, but they do not establish construct validity. Duplicate files are not counted twice.</x:v>
      </x:c>
    </x:row>
    <x:row r="4" ht="34" customHeight="1">
      <x:c r="A4" s="41" t="str">
        <x:v>Uploaded file / source gap</x:v>
      </x:c>
      <x:c r="B4" s="41" t="str">
        <x:v>Paper</x:v>
      </x:c>
      <x:c r="C4" s="41" t="str">
        <x:v>Evidence role</x:v>
      </x:c>
      <x:c r="D4" s="41" t="str">
        <x:v>Supports</x:v>
      </x:c>
      <x:c r="E4" s="41" t="str">
        <x:v>Does not support</x:v>
      </x:c>
      <x:c r="F4" s="41" t="str">
        <x:v>URL / DOI</x:v>
      </x:c>
    </x:row>
    <x:row r="5" ht="56" customHeight="1">
      <x:c r="A5" s="34" t="str">
        <x:v>Soto_John_2017a.pdf</x:v>
      </x:c>
      <x:c r="B5" s="34" t="str">
        <x:v>Soto &amp; John (2017), BFI-2</x:v>
      </x:c>
      <x:c r="C5" s="45" t="str">
        <x:v>FOUNDATIONAL — SCALE</x:v>
      </x:c>
      <x:c r="D5" s="34" t="str">
        <x:v>Defines hierarchical BFI-2 domains/facets and the 12 Conscientiousness items.</x:v>
      </x:c>
      <x:c r="E5" s="34" t="str">
        <x:v>Does not validate game behaviors as item replacements.</x:v>
      </x:c>
      <x:c r="F5" s="34" t="str">
        <x:v>https://doi.org/10.1037/pspp0000096</x:v>
      </x:c>
    </x:row>
    <x:row r="6" ht="56" customHeight="1">
      <x:c r="A6" s="35" t="str">
        <x:v>sewell-et-al-2024-...pdf</x:v>
      </x:c>
      <x:c r="B6" s="35" t="str">
        <x:v>Sewell et al. (2024/2025), BESSI short forms</x:v>
      </x:c>
      <x:c r="C6" s="45" t="str">
        <x:v>FOUNDATIONAL — SHORT FORM</x:v>
      </x:c>
      <x:c r="D6" s="35" t="str">
        <x:v>Confirms BESSI-192 has 32 six-item facets and develops 96/45/20 short forms.</x:v>
      </x:c>
      <x:c r="E6" s="35" t="str">
        <x:v>Only three selected Information Processing items appear in BESSI-96; not authority for all six.</x:v>
      </x:c>
      <x:c r="F6" s="35" t="str">
        <x:v>https://doi.org/10.1177/10731911241256434</x:v>
      </x:c>
    </x:row>
    <x:row r="7" ht="56" customHeight="1">
      <x:c r="A7" s="34" t="str">
        <x:v>[web source; not uploaded]</x:v>
      </x:c>
      <x:c r="B7" s="34" t="str">
        <x:v>Soto et al. (2022), original BESSI</x:v>
      </x:c>
      <x:c r="C7" s="45" t="str">
        <x:v>FOUNDATIONAL — SCALE</x:v>
      </x:c>
      <x:c r="D7" s="34" t="str">
        <x:v>Defines SEB skills as capacities and supplies the six-item Information Processing facet.</x:v>
      </x:c>
      <x:c r="E7" s="34" t="str">
        <x:v>Performance tasks remain a different method requiring validation.</x:v>
      </x:c>
      <x:c r="F7" s="34" t="str">
        <x:v>https://doi.org/10.1037/pspp0000401</x:v>
      </x:c>
    </x:row>
    <x:row r="8" ht="56" customHeight="1">
      <x:c r="A8" s="35" t="str">
        <x:v>[web source; not uploaded]</x:v>
      </x:c>
      <x:c r="B8" s="35" t="str">
        <x:v>Howard &amp; Crayne (2019), Multidimensional Persistence Scale</x:v>
      </x:c>
      <x:c r="C8" s="45" t="str">
        <x:v>FOUNDATIONAL — SCALE</x:v>
      </x:c>
      <x:c r="D8" s="35" t="str">
        <x:v>Defines PDD, persistence despite fear and inappropriate persistence as distinct dimensions.</x:v>
      </x:c>
      <x:c r="E8" s="35" t="str">
        <x:v>Does not validate the proposed minigames or scoring formulas.</x:v>
      </x:c>
      <x:c r="F8" s="35" t="str">
        <x:v>https://doi.org/10.1016/j.paid.2018.11.005</x:v>
      </x:c>
    </x:row>
    <x:row r="9" ht="56" customHeight="1">
      <x:c r="A9" s="34" t="str">
        <x:v>DuckworthQuinn_2009_ShortGritScale.pdf</x:v>
      </x:c>
      <x:c r="B9" s="34" t="str">
        <x:v>Duckworth &amp; Quinn (2009), Grit-S</x:v>
      </x:c>
      <x:c r="C9" s="35" t="str">
        <x:v>COMPARISON ONLY</x:v>
      </x:c>
      <x:c r="D9" s="34" t="str">
        <x:v>Shows an established short grit measure and long-term perseverance/interest structure.</x:v>
      </x:c>
      <x:c r="E9" s="34" t="str">
        <x:v>Grit-S was deliberately not selected; it is not authority for PDD/IP mappings.</x:v>
      </x:c>
      <x:c r="F9" s="34" t="str">
        <x:v>https://doi.org/10.1080/00223890802634290</x:v>
      </x:c>
    </x:row>
    <x:row r="10" ht="56" customHeight="1">
      <x:c r="A10" s="35" t="str">
        <x:v>Ackermann_MA_BMS.pdf</x:v>
      </x:c>
      <x:c r="B10" s="35" t="str">
        <x:v>Ackermann (2018), Grit-S psychometrics thesis</x:v>
      </x:c>
      <x:c r="C10" s="35" t="str">
        <x:v>COMPARISON ONLY</x:v>
      </x:c>
      <x:c r="D10" s="35" t="str">
        <x:v>Useful for Grit-S psychometric/cross-context cautions.</x:v>
      </x:c>
      <x:c r="E10" s="35" t="str">
        <x:v>Not source authority for the selected battery.</x:v>
      </x:c>
      <x:c r="F10" s="35" t="str"/>
    </x:row>
    <x:row r="11" ht="56" customHeight="1">
      <x:c r="A11" s="34" t="str">
        <x:v>Perseverance_a_measure_of_conscientiousness_is_a_v(1).pdf</x:v>
      </x:c>
      <x:c r="B11" s="34" t="str">
        <x:v>Zhang et al., perseverance within conscientiousness</x:v>
      </x:c>
      <x:c r="C11" s="35" t="str">
        <x:v>SUPPORTING — CONSTRUCT</x:v>
      </x:c>
      <x:c r="D11" s="34" t="str">
        <x:v>Supports perseverance as a conscientiousness-related predictor across samples.</x:v>
      </x:c>
      <x:c r="E11" s="34" t="str">
        <x:v>Does not establish one-to-one game indicators.</x:v>
      </x:c>
      <x:c r="F11" s="34" t="str"/>
    </x:row>
    <x:row r="12" ht="56" customHeight="1">
      <x:c r="A12" s="35" t="str">
        <x:v>htqe.2024.16_kampmane(1).pdf</x:v>
      </x:c>
      <x:c r="B12" s="35" t="str">
        <x:v>Kampmane (2024), perseverance/conscientiousness</x:v>
      </x:c>
      <x:c r="C12" s="35" t="str">
        <x:v>SUPPORTING — CONSTRUCT</x:v>
      </x:c>
      <x:c r="D12" s="35" t="str">
        <x:v>Shows association in an adolescent educational sample.</x:v>
      </x:c>
      <x:c r="E12" s="35" t="str">
        <x:v>Population/context differs from adult hiring and does not validate game tasks.</x:v>
      </x:c>
      <x:c r="F12" s="35" t="str">
        <x:v>https://doi.org/10.22364/htqe.2024.16</x:v>
      </x:c>
    </x:row>
    <x:row r="13" ht="56" customHeight="1">
      <x:c r="A13" s="34" t="str">
        <x:v>GAP1.pdf</x:v>
      </x:c>
      <x:c r="B13" s="34" t="str">
        <x:v>Ventura &amp; Shute (2013), game-based persistence</x:v>
      </x:c>
      <x:c r="C13" s="42" t="str">
        <x:v>HIGH RELEVANCE — METHOD</x:v>
      </x:c>
      <x:c r="D13" s="34" t="str">
        <x:v>Demonstrates challenge-dependent task persistence using longitudinal gameplay logs.</x:v>
      </x:c>
      <x:c r="E13" s="34" t="str">
        <x:v>Game persistence did not converge with self-report; four-hour physics play is not comparable to 40-second windows.</x:v>
      </x:c>
      <x:c r="F13" s="34" t="str">
        <x:v>https://doi.org/10.1016/j.compedu.2012.12.003</x:v>
      </x:c>
    </x:row>
    <x:row r="14" ht="56" customHeight="1">
      <x:c r="A14" s="35" t="str">
        <x:v>AcceptedVersion.pdf</x:v>
      </x:c>
      <x:c r="B14" s="35" t="str">
        <x:v>Persistence in a Game-Based Learning Environment</x:v>
      </x:c>
      <x:c r="C14" s="42" t="str">
        <x:v>HIGH RELEVANCE — METHOD</x:v>
      </x:c>
      <x:c r="D14" s="35" t="str">
        <x:v>Distinguishes productive persistence from mere time/repetition in a large coding-game sample.</x:v>
      </x:c>
      <x:c r="E14" s="35" t="str">
        <x:v>Authors do not equate micro-level task persistence with a broad personality trait.</x:v>
      </x:c>
      <x:c r="F14" s="35" t="str"/>
    </x:row>
    <x:row r="15" ht="56" customHeight="1">
      <x:c r="A15" s="34" t="str">
        <x:v>IJSANarrativeGamificationForSharing.pdf</x:v>
      </x:c>
      <x:c r="B15" s="34" t="str">
        <x:v>Landers &amp; Collmus (2022), storified personality</x:v>
      </x:c>
      <x:c r="C15" s="42" t="str">
        <x:v>HIGH RELEVANCE — CAUTION</x:v>
      </x:c>
      <x:c r="D15" s="34" t="str">
        <x:v>Directly compares original and storified personality measures in N=426.</x:v>
      </x:c>
      <x:c r="E15" s="34" t="str">
        <x:v>Item convergence was poor and prediction weaker; narrative conversion creates a new measure.</x:v>
      </x:c>
      <x:c r="F15" s="34" t="str">
        <x:v>https://doi.org/10.1111/ijsa.12373</x:v>
      </x:c>
    </x:row>
    <x:row r="16" ht="56" customHeight="1">
      <x:c r="A16" s="35" t="str">
        <x:v>journal.pone.0302429 (1).pdf</x:v>
      </x:c>
      <x:c r="B16" s="35" t="str">
        <x:v>Ramos-Villagrasa et al. (2024), VASSIP</x:v>
      </x:c>
      <x:c r="C16" s="42" t="str">
        <x:v>HIGH RELEVANCE — CAUTION</x:v>
      </x:c>
      <x:c r="D16" s="35" t="str">
        <x:v>Initial comparison of a serious-game presentation and traditional personality questionnaire.</x:v>
      </x:c>
      <x:c r="E16" s="35" t="str">
        <x:v>Kept item text/Likert responses; non-evaluable gameplay does not validate behavioral replacements; not ready for selection use.</x:v>
      </x:c>
      <x:c r="F16" s="35" t="str">
        <x:v>https://doi.org/10.1371/journal.pone.0302429</x:v>
      </x:c>
    </x:row>
    <x:row r="17" ht="56" customHeight="1">
      <x:c r="A17" s="34" t="str">
        <x:v>pone.0302429.pdf</x:v>
      </x:c>
      <x:c r="B17" s="34" t="str">
        <x:v>Duplicate of the PLOS paper above</x:v>
      </x:c>
      <x:c r="C17" s="50" t="str">
        <x:v>DUPLICATE</x:v>
      </x:c>
      <x:c r="D17" s="34" t="str">
        <x:v>Byte-identical duplicate retained only for provenance.</x:v>
      </x:c>
      <x:c r="E17" s="34" t="str">
        <x:v>Do not double-count as independent evidence.</x:v>
      </x:c>
      <x:c r="F17" s="34" t="str">
        <x:v>https://doi.org/10.1371/journal.pone.0302429</x:v>
      </x:c>
    </x:row>
    <x:row r="18" ht="56" customHeight="1">
      <x:c r="A18" s="35" t="str">
        <x:v>FoodChoices_v0.71_OA.pdf</x:v>
      </x:c>
      <x:c r="B18" s="35" t="str">
        <x:v>FoodChoices(Q), serious-game questionnaire proxy</x:v>
      </x:c>
      <x:c r="C18" s="42" t="str">
        <x:v>HIGH RELEVANCE — CAUTION</x:v>
      </x:c>
      <x:c r="D18" s="35" t="str">
        <x:v>Tests category- and item-level proxy behavior and reports administration-time costs.</x:v>
      </x:c>
      <x:c r="E18" s="35" t="str">
        <x:v>Single-item proxies failed more often; goals/rewards can distort responses; small sample.</x:v>
      </x:c>
      <x:c r="F18" s="35" t="str"/>
    </x:row>
    <x:row r="19" ht="56" customHeight="1">
      <x:c r="A19" s="34" t="str">
        <x:v>1-s2.0-S1877050921000478-main.pdf</x:v>
      </x:c>
      <x:c r="B19" s="34" t="str">
        <x:v>Haizel et al. (2021), Big Five RPG choices</x:v>
      </x:c>
      <x:c r="C19" s="35" t="str">
        <x:v>LOW EVIDENCE</x:v>
      </x:c>
      <x:c r="D19" s="34" t="str">
        <x:v>Illustrates a simple choice-to-trait implementation.</x:v>
      </x:c>
      <x:c r="E19" s="34" t="str">
        <x:v>N=10 and direct point assignment provide no adequate validation authority.</x:v>
      </x:c>
      <x:c r="F19" s="34" t="str">
        <x:v>https://doi.org/10.1016/j.procs.2021.01.041</x:v>
      </x:c>
    </x:row>
    <x:row r="20" ht="56" customHeight="1">
      <x:c r="A20" s="35" t="str">
        <x:v>2507.04005v4.pdf</x:v>
      </x:c>
      <x:c r="B20" s="35" t="str">
        <x:v>Zhang et al. (2025), LLM-agent personality assessment</x:v>
      </x:c>
      <x:c r="C20" s="35" t="str">
        <x:v>EXPLORATORY PREPRINT</x:v>
      </x:c>
      <x:c r="D20" s="35" t="str">
        <x:v>Offers interaction-based personality assessment design ideas.</x:v>
      </x:c>
      <x:c r="E20" s="35" t="str">
        <x:v>Preprint/novel LLM method; not authority for the present item mappings or selection use.</x:v>
      </x:c>
      <x:c r="F20" s="35" t="str">
        <x:v>https://arxiv.org/abs/2507.04005</x:v>
      </x:c>
    </x:row>
    <x:row r="21" ht="56" customHeight="1">
      <x:c r="A21" s="34" t="str">
        <x:v>Gamified_Mobile_Assessments_as_a_Viable_Alternativ(1).pdf</x:v>
      </x:c>
      <x:c r="B21" s="34" t="str">
        <x:v>Gan &amp; Zeng (2025), mobile assessments</x:v>
      </x:c>
      <x:c r="C21" s="35" t="str">
        <x:v>EXPLORATORY PREPRINT</x:v>
      </x:c>
      <x:c r="D21" s="34" t="str">
        <x:v>Reports moderate game–questionnaire associations and explicitly discusses gaming-skill/construct overlap.</x:v>
      </x:c>
      <x:c r="E21" s="34" t="str">
        <x:v>Concurrent associations and modest explained variance are insufficient for operational selection claims.</x:v>
      </x:c>
      <x:c r="F21" s="34" t="str">
        <x:v>https://doi.org/10.21203/rs.3.rs-6966212/v1</x:v>
      </x:c>
    </x:row>
    <x:row r="22" ht="56" customHeight="1">
      <x:c r="A22" s="35" t="str">
        <x:v>1-s2.0-S074756321630855X-main.pdf</x:v>
      </x:c>
      <x:c r="B22" s="35" t="str">
        <x:v>Sailer et al. (2017), gamification motivation RCT</x:v>
      </x:c>
      <x:c r="C22" s="35" t="str">
        <x:v>DESIGN EVIDENCE</x:v>
      </x:c>
      <x:c r="D22" s="35" t="str">
        <x:v>Shows specific game elements have specific motivational effects and require manipulation checks.</x:v>
      </x:c>
      <x:c r="E22" s="35" t="str">
        <x:v>Does not validate psychological inference from game actions.</x:v>
      </x:c>
      <x:c r="F22" s="35" t="str">
        <x:v>https://doi.org/10.1016/j.chb.2016.12.033</x:v>
      </x:c>
    </x:row>
    <x:row r="23" ht="56" customHeight="1">
      <x:c r="A23" s="34" t="str">
        <x:v>ewic_hci18_full_paper41.pdf</x:v>
      </x:c>
      <x:c r="B23" s="34" t="str">
        <x:v>Ghaban &amp; Hendley (2018), personality × gamification</x:v>
      </x:c>
      <x:c r="C23" s="35" t="str">
        <x:v>DESIGN / CONFOUND</x:v>
      </x:c>
      <x:c r="D23" s="34" t="str">
        <x:v>Shows users can respond differently to gamification depending on personality.</x:v>
      </x:c>
      <x:c r="E23" s="34" t="str">
        <x:v>Not evidence that game performance measures those traits.</x:v>
      </x:c>
      <x:c r="F23" s="34" t="str"/>
    </x:row>
    <x:row r="24" ht="56" customHeight="1">
      <x:c r="A24" s="35" t="str">
        <x:v>How_Different_Personalities.pdf</x:v>
      </x:c>
      <x:c r="B24" s="35" t="str">
        <x:v>Ghaban &amp; Hendley (2019), differential gamification benefit</x:v>
      </x:c>
      <x:c r="C24" s="35" t="str">
        <x:v>DESIGN / CONFOUND</x:v>
      </x:c>
      <x:c r="D24" s="35" t="str">
        <x:v>Reinforces that points/badges/leaderboards may differentially affect engagement/dropout.</x:v>
      </x:c>
      <x:c r="E24" s="35" t="str">
        <x:v>Not construct-validity evidence; limited elements/sample caveats.</x:v>
      </x:c>
      <x:c r="F24" s="35" t="str">
        <x:v>https://doi.org/10.1093/iwc/iwz009</x:v>
      </x:c>
    </x:row>
    <x:row r="25" ht="56" customHeight="1">
      <x:c r="A25" s="34" t="str">
        <x:v>9-TheBigFivepersonalitytraitsandonlinegaming...pdf</x:v>
      </x:c>
      <x:c r="B25" s="34" t="str">
        <x:v>Akbari et al. (2021), Big Five and online gaming meta-analysis</x:v>
      </x:c>
      <x:c r="C25" s="35" t="str">
        <x:v>CONTEXT ONLY</x:v>
      </x:c>
      <x:c r="D25" s="34" t="str">
        <x:v>Shows small associations between traits and gaming behavior/context.</x:v>
      </x:c>
      <x:c r="E25" s="34" t="str">
        <x:v>Cannot be reversed into a scoring warrant for specific game actions.</x:v>
      </x:c>
      <x:c r="F25" s="34" t="str">
        <x:v>https://doi.org/10.1556/2006.2021.00050</x:v>
      </x:c>
    </x:row>
    <x:row r="26" ht="56" customHeight="1">
      <x:c r="A26" s="35" t="str">
        <x:v>CS_23_HCI_10_14_Rapportv2(4).pdf</x:v>
      </x:c>
      <x:c r="B26" s="35" t="str">
        <x:v>Feedback Through Games survey-gamification report</x:v>
      </x:c>
      <x:c r="C26" s="35" t="str">
        <x:v>UX / DESIGN</x:v>
      </x:c>
      <x:c r="D26" s="35" t="str">
        <x:v>Useful implementation and survey-experience ideas.</x:v>
      </x:c>
      <x:c r="E26" s="35" t="str">
        <x:v>Student report; not psychometric authority for behavioral replacement.</x:v>
      </x:c>
      <x:c r="F26" s="35" t="str"/>
    </x:row>
    <x:row r="27" ht="56" customHeight="1">
      <x:c r="A27" s="34" t="str">
        <x:v>Game_On_-_Exploring_Gamification_in_Online_Surveys.pdf</x:v>
      </x:c>
      <x:c r="B27" s="34" t="str">
        <x:v>Game On survey-gamification thesis</x:v>
      </x:c>
      <x:c r="C27" s="35" t="str">
        <x:v>UX / DESIGN</x:v>
      </x:c>
      <x:c r="D27" s="34" t="str">
        <x:v>Useful for response experience and engagement design.</x:v>
      </x:c>
      <x:c r="E27" s="34" t="str">
        <x:v>Undergraduate thesis; not construct-validity evidence.</x:v>
      </x:c>
      <x:c r="F27" s="34" t="str"/>
    </x:row>
    <x:row r="28" ht="56" customHeight="1">
      <x:c r="A28" s="35" t="str">
        <x:v>lee.pdf</x:v>
      </x:c>
      <x:c r="B28" s="35" t="str">
        <x:v>Gamified survey quality-assurance pilot</x:v>
      </x:c>
      <x:c r="C28" s="35" t="str">
        <x:v>UX / DESIGN</x:v>
      </x:c>
      <x:c r="D28" s="35" t="str">
        <x:v>Supports iterative QA and participant-facing survey design.</x:v>
      </x:c>
      <x:c r="E28" s="35" t="str">
        <x:v>Does not validate game behaviors as personality scores.</x:v>
      </x:c>
      <x:c r="F28" s="35" t="str"/>
    </x:row>
    <x:row r="29" ht="56" customHeight="1">
      <x:c r="A29" s="34" t="str">
        <x:v>chapter-games-1.pdf</x:v>
      </x:c>
      <x:c r="B29" s="34" t="str">
        <x:v>The Grit Game chapter</x:v>
      </x:c>
      <x:c r="C29" s="35" t="str">
        <x:v>EDUCATIONAL CONTEXT</x:v>
      </x:c>
      <x:c r="D29" s="34" t="str">
        <x:v>Provides pedagogical framing for play and grit.</x:v>
      </x:c>
      <x:c r="E29" s="34" t="str">
        <x:v>Not a validation study for this instrument.</x:v>
      </x:c>
      <x:c r="F29" s="34" t="str"/>
    </x:row>
    <x:row r="30" ht="56" customHeight="1">
      <x:c r="A30" s="35" t="str">
        <x:v>SERJ172_Hazan.pdf</x:v>
      </x:c>
      <x:c r="B30" s="35" t="str">
        <x:v>Gamified psychology statistics lab</x:v>
      </x:c>
      <x:c r="C30" s="35" t="str">
        <x:v>EDUCATIONAL CONTEXT</x:v>
      </x:c>
      <x:c r="D30" s="35" t="str">
        <x:v>Relevant to perceived competence/engagement in learning.</x:v>
      </x:c>
      <x:c r="E30" s="35" t="str">
        <x:v>Not personality or hiring-assessment validity evidence.</x:v>
      </x:c>
      <x:c r="F30" s="35" t="str"/>
    </x:row>
    <x:row r="31" ht="56" customHeight="1">
      <x:c r="A31" s="34" t="str">
        <x:v>s40692-025-00366-x.pdf</x:v>
      </x:c>
      <x:c r="B31" s="34" t="str">
        <x:v>Coelho et al. (2025), educational gamification RCT</x:v>
      </x:c>
      <x:c r="C31" s="35" t="str">
        <x:v>EDUCATIONAL CONTEXT</x:v>
      </x:c>
      <x:c r="D31" s="34" t="str">
        <x:v>Shows integrated game elements can affect learning/cognitive load and must align with goals.</x:v>
      </x:c>
      <x:c r="E31" s="34" t="str">
        <x:v>Not authority for psychological measurement from gameplay.</x:v>
      </x:c>
      <x:c r="F31" s="34" t="str">
        <x:v>https://doi.org/10.1007/s40692-025-00366-x</x:v>
      </x:c>
    </x:row>
    <x:row r="32" ht="56" customHeight="1">
      <x:c r="A32" s="35" t="str">
        <x:v>fpsyg-16-1671543.pdf</x:v>
      </x:c>
      <x:c r="B32" s="35" t="str">
        <x:v>Sun et al. (2025), feature richness/adherence</x:v>
      </x:c>
      <x:c r="C32" s="35" t="str">
        <x:v>MOTIVATION CONTEXT</x:v>
      </x:c>
      <x:c r="D32" s="35" t="str">
        <x:v>Warns that more gamification features are not automatically better.</x:v>
      </x:c>
      <x:c r="E32" s="35" t="str">
        <x:v>Exercise-adherence intention is not assessment validity.</x:v>
      </x:c>
      <x:c r="F32" s="35" t="str">
        <x:v>https://doi.org/10.3389/fpsyg.2025.1671543</x:v>
      </x:c>
    </x:row>
  </x:sheetData>
  <x:mergeCells>
    <x:mergeCell ref="A1:F1"/>
    <x:mergeCell ref="A2:F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0" hidden="0" customWidth="1"/>
    <x:col min="3" max="3" width="22" hidden="0" customWidth="1"/>
    <x:col min="4" max="4" width="55" hidden="0" customWidth="1"/>
    <x:col min="5" max="5" width="50" hidden="0" customWidth="1"/>
    <x:col min="6" max="6" width="48" hidden="0" customWidth="1"/>
  </x:cols>
  <x:sheetData>
    <x:row r="1" ht="30" customHeight="1">
      <x:c r="A1" s="18" t="str">
        <x:v>Implementation gates for the next Fable-heavy session</x:v>
      </x:c>
      <x:c r="B1" s="18" t="str">
        <x:v>Implementation gates for the next Fable-heavy session</x:v>
      </x:c>
      <x:c r="C1" s="18" t="str">
        <x:v>Implementation gates for the next Fable-heavy session</x:v>
      </x:c>
      <x:c r="D1" s="18" t="str">
        <x:v>Implementation gates for the next Fable-heavy session</x:v>
      </x:c>
      <x:c r="E1" s="18" t="str">
        <x:v>Implementation gates for the next Fable-heavy session</x:v>
      </x:c>
      <x:c r="F1" s="18" t="str">
        <x:v>Implementation gates for the next Fable-heavy session</x:v>
      </x:c>
    </x:row>
    <x:row r="2" ht="34" customHeight="1">
      <x:c r="A2" s="21" t="str">
        <x:v>Fable is appropriate for the long implementation/visual pass. Use Opus for scientific review and final adjudication. A gate failure stops the unit; it is not permission to reinterpret the construct.</x:v>
      </x:c>
      <x:c r="B2" s="21" t="str">
        <x:v>Fable is appropriate for the long implementation/visual pass. Use Opus for scientific review and final adjudication. A gate failure stops the unit; it is not permission to reinterpret the construct.</x:v>
      </x:c>
      <x:c r="C2" s="21" t="str">
        <x:v>Fable is appropriate for the long implementation/visual pass. Use Opus for scientific review and final adjudication. A gate failure stops the unit; it is not permission to reinterpret the construct.</x:v>
      </x:c>
      <x:c r="D2" s="21" t="str">
        <x:v>Fable is appropriate for the long implementation/visual pass. Use Opus for scientific review and final adjudication. A gate failure stops the unit; it is not permission to reinterpret the construct.</x:v>
      </x:c>
      <x:c r="E2" s="21" t="str">
        <x:v>Fable is appropriate for the long implementation/visual pass. Use Opus for scientific review and final adjudication. A gate failure stops the unit; it is not permission to reinterpret the construct.</x:v>
      </x:c>
      <x:c r="F2" s="21" t="str">
        <x:v>Fable is appropriate for the long implementation/visual pass. Use Opus for scientific review and final adjudication. A gate failure stops the unit; it is not permission to reinterpret the construct.</x:v>
      </x:c>
    </x:row>
    <x:row r="3" ht="34" customHeight="1">
      <x:c r="A3" s="21" t="str">
        <x:v>Fable is appropriate for the long implementation/visual pass. Use Opus for scientific review and final adjudication. A gate failure stops the unit; it is not permission to reinterpret the construct.</x:v>
      </x:c>
      <x:c r="B3" s="21" t="str">
        <x:v>Fable is appropriate for the long implementation/visual pass. Use Opus for scientific review and final adjudication. A gate failure stops the unit; it is not permission to reinterpret the construct.</x:v>
      </x:c>
      <x:c r="C3" s="21" t="str">
        <x:v>Fable is appropriate for the long implementation/visual pass. Use Opus for scientific review and final adjudication. A gate failure stops the unit; it is not permission to reinterpret the construct.</x:v>
      </x:c>
      <x:c r="D3" s="21" t="str">
        <x:v>Fable is appropriate for the long implementation/visual pass. Use Opus for scientific review and final adjudication. A gate failure stops the unit; it is not permission to reinterpret the construct.</x:v>
      </x:c>
      <x:c r="E3" s="21" t="str">
        <x:v>Fable is appropriate for the long implementation/visual pass. Use Opus for scientific review and final adjudication. A gate failure stops the unit; it is not permission to reinterpret the construct.</x:v>
      </x:c>
      <x:c r="F3" s="21" t="str">
        <x:v>Fable is appropriate for the long implementation/visual pass. Use Opus for scientific review and final adjudication. A gate failure stops the unit; it is not permission to reinterpret the construct.</x:v>
      </x:c>
    </x:row>
    <x:row r="4" ht="34" customHeight="1">
      <x:c r="A4" s="41" t="str">
        <x:v>Gate</x:v>
      </x:c>
      <x:c r="B4" s="41" t="str">
        <x:v>Objective</x:v>
      </x:c>
      <x:c r="C4" s="41" t="str">
        <x:v>When</x:v>
      </x:c>
      <x:c r="D4" s="41" t="str">
        <x:v>Acceptance evidence</x:v>
      </x:c>
      <x:c r="E4" s="41" t="str">
        <x:v>Prohibited</x:v>
      </x:c>
      <x:c r="F4" s="41" t="str">
        <x:v>Stop condition</x:v>
      </x:c>
    </x:row>
    <x:row r="5">
      <x:c r="A5" s="36" t="str">
        <x:v>G0</x:v>
      </x:c>
      <x:c r="B5" s="34" t="str">
        <x:v>Freeze scientific decision matrix</x:v>
      </x:c>
      <x:c r="C5" s="34" t="str">
        <x:v>Before gameplay edits</x:v>
      </x:c>
      <x:c r="D5" s="34" t="str">
        <x:v>M01–M26 disposition, construct level, item window, candidate raw variables, invalidity and time budget approved</x:v>
      </x:c>
      <x:c r="E5" s="34" t="str">
        <x:v>No scoring formula; no canonical event; no route/asset work</x:v>
      </x:c>
      <x:c r="F5" s="34" t="str">
        <x:v>STOP if any item lacks an explicit source construct or validity gate</x:v>
      </x:c>
    </x:row>
    <x:row r="6">
      <x:c r="A6" s="37" t="str">
        <x:v>G1</x:v>
      </x:c>
      <x:c r="B6" s="35" t="str">
        <x:v>Integrate technical foundations</x:v>
      </x:c>
      <x:c r="C6" s="35" t="str">
        <x:v>Foundation branch</x:v>
      </x:c>
      <x:c r="D6" s="35" t="str">
        <x:v>Inventory + IP + field actions + current pilot + Concourse hotfix merged with focused tests green</x:v>
      </x:c>
      <x:c r="E6" s="35" t="str">
        <x:v>No measurement reinterpretation during merge</x:v>
      </x:c>
      <x:c r="F6" s="35" t="str">
        <x:v>STOP on lost events, duplicated stores or broken modal lifecycle</x:v>
      </x:c>
    </x:row>
    <x:row r="7">
      <x:c r="A7" s="36" t="str">
        <x:v>G2</x:v>
      </x:c>
      <x:c r="B7" s="34" t="str">
        <x:v>Build five episodes + non-scored finale</x:v>
      </x:c>
      <x:c r="C7" s="34" t="str">
        <x:v>Gameplay</x:v>
      </x:c>
      <x:c r="D7" s="34" t="str">
        <x:v>Bidirectional coherent route, one purposeful return, all item windows independently enterable, no early Core completion</x:v>
      </x:c>
      <x:c r="E7" s="34" t="str">
        <x:v>No separate room per item; no dead orientation rooms; no random click-card substitutes</x:v>
      </x:c>
      <x:c r="F7" s="34" t="str">
        <x:v>STOP if route confusion or task gating contaminates any window</x:v>
      </x:c>
    </x:row>
    <x:row r="8">
      <x:c r="A8" s="37" t="str">
        <x:v>G3</x:v>
      </x:c>
      <x:c r="B8" s="35" t="str">
        <x:v>Mechanic quality pass</x:v>
      </x:c>
      <x:c r="C8" s="35" t="str">
        <x:v>Gameplay</x:v>
      </x:c>
      <x:c r="D8" s="35" t="str">
        <x:v>Inventory drag/drop, pipe puzzle, decoder phases, C/D field recovery, F magnet rig, setbacks and obligations work with keyboard/pointer parity</x:v>
      </x:c>
      <x:c r="E8" s="35" t="str">
        <x:v>Do not score global movement/time/clicks; no same raw event in two primary components</x:v>
      </x:c>
      <x:c r="F8" s="35" t="str">
        <x:v>STOP if any task is still a disguised answer card or one-click completion</x:v>
      </x:c>
    </x:row>
    <x:row r="9">
      <x:c r="A9" s="36" t="str">
        <x:v>G4</x:v>
      </x:c>
      <x:c r="B9" s="34" t="str">
        <x:v>Adult visual integration</x:v>
      </x:c>
      <x:c r="C9" s="34" t="str">
        <x:v>Presentation</x:v>
      </x:c>
      <x:c r="D9" s="34" t="str">
        <x:v>Use existing PixelLab pack after inventory; coherent 96×96 characters/32×32 world; professional UI hierarchy; restrained palette; animation/effects; no placeholder panels</x:v>
      </x:c>
      <x:c r="E9" s="34" t="str">
        <x:v>No unapproved asset silently promoted; no comic/chibi copy; no new asset generation until inventory records gap</x:v>
      </x:c>
      <x:c r="F9" s="34" t="str">
        <x:v>STOP if provenance/approval or visual compatibility is unclear</x:v>
      </x:c>
    </x:row>
    <x:row r="10">
      <x:c r="A10" s="37" t="str">
        <x:v>G5</x:v>
      </x:c>
      <x:c r="B10" s="35" t="str">
        <x:v>Burden + accessibility</x:v>
      </x:c>
      <x:c r="C10" s="35" t="str">
        <x:v>Participant route</x:v>
      </x:c>
      <x:c r="D10" s="35" t="str">
        <x:v>Nominal item-active 1,040 s; shared overhead ≤420 s; finale ≤75 s; human median target ≤27 min and p90 ≤30 min</x:v>
      </x:c>
      <x:c r="E10" s="35" t="str">
        <x:v>Do not shorten comprehension, practice, difficulty or futility verification to save time</x:v>
      </x:c>
      <x:c r="F10" s="35" t="str">
        <x:v>If over budget, move weakest conditional item to questionnaire-primary; do not compress validity-critical windows</x:v>
      </x:c>
    </x:row>
    <x:row r="11">
      <x:c r="A11" s="36" t="str">
        <x:v>G6</x:v>
      </x:c>
      <x:c r="B11" s="34" t="str">
        <x:v>Scientific verification</x:v>
      </x:c>
      <x:c r="C11" s="34" t="str">
        <x:v>Testing/review</x:v>
      </x:c>
      <x:c r="D11" s="34" t="str">
        <x:v>Window isolation, event-family disjointness, missing/invalid semantics, counterbalancing, no-score assertions, complete raw export</x:v>
      </x:c>
      <x:c r="E11" s="34" t="str">
        <x:v>No post-hoc weights, trait labels, cut scores or hiring interpretation</x:v>
      </x:c>
      <x:c r="F11" s="34" t="str">
        <x:v>STOP release if any invalid opportunity becomes a low value</x:v>
      </x:c>
    </x:row>
    <x:row r="12">
      <x:c r="A12" s="37" t="str">
        <x:v>G7</x:v>
      </x:c>
      <x:c r="B12" s="35" t="str">
        <x:v>Pilot evidence</x:v>
      </x:c>
      <x:c r="C12" s="35" t="str">
        <x:v>Human research</x:v>
      </x:c>
      <x:c r="D12" s="35" t="str">
        <x:v>Cognitive interviews; usability/timing; variance/reliability/generalizability; convergence/discrimination; gaming/language/accessibility/fairness analyses</x:v>
      </x:c>
      <x:c r="E12" s="35" t="str">
        <x:v>No claim that game replaces source questionnaire before validation</x:v>
      </x:c>
      <x:c r="F12" s="35" t="str">
        <x:v>Research-only until replicated criterion evidence and governance approval</x:v>
      </x:c>
    </x:row>
  </x:sheetData>
  <x:mergeCells>
    <x:mergeCell ref="A1:F1"/>
    <x:mergeCell ref="A2:F3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7" hidden="0" customWidth="1"/>
    <x:col min="3" max="3" width="44" hidden="0" customWidth="1"/>
    <x:col min="4" max="4" width="52" hidden="0" customWidth="1"/>
    <x:col min="5" max="5" width="60" hidden="0" customWidth="1"/>
  </x:cols>
  <x:sheetData>
    <x:row r="1" ht="30" customHeight="1">
      <x:c r="A1" s="18" t="str">
        <x:v>What changed after the paper re-review</x:v>
      </x:c>
      <x:c r="B1" s="18" t="str">
        <x:v>What changed after the paper re-review</x:v>
      </x:c>
      <x:c r="C1" s="18" t="str">
        <x:v>What changed after the paper re-review</x:v>
      </x:c>
      <x:c r="D1" s="18" t="str">
        <x:v>What changed after the paper re-review</x:v>
      </x:c>
      <x:c r="E1" s="18" t="str">
        <x:v>What changed after the paper re-review</x:v>
      </x:c>
    </x:row>
    <x:row r="2" ht="34" customHeight="1">
      <x:c r="A2" s="21" t="str">
        <x:v>The original workbook remains intact in sheets 00–07. This sheet documents the scientific corrections that sheets 08–13 apply.</x:v>
      </x:c>
      <x:c r="B2" s="21" t="str">
        <x:v>The original workbook remains intact in sheets 00–07. This sheet documents the scientific corrections that sheets 08–13 apply.</x:v>
      </x:c>
      <x:c r="C2" s="21" t="str">
        <x:v>The original workbook remains intact in sheets 00–07. This sheet documents the scientific corrections that sheets 08–13 apply.</x:v>
      </x:c>
      <x:c r="D2" s="21" t="str">
        <x:v>The original workbook remains intact in sheets 00–07. This sheet documents the scientific corrections that sheets 08–13 apply.</x:v>
      </x:c>
      <x:c r="E2" s="21" t="str">
        <x:v>The original workbook remains intact in sheets 00–07. This sheet documents the scientific corrections that sheets 08–13 apply.</x:v>
      </x:c>
    </x:row>
    <x:row r="3" ht="34" customHeight="1">
      <x:c r="A3" s="21" t="str">
        <x:v>The original workbook remains intact in sheets 00–07. This sheet documents the scientific corrections that sheets 08–13 apply.</x:v>
      </x:c>
      <x:c r="B3" s="21" t="str">
        <x:v>The original workbook remains intact in sheets 00–07. This sheet documents the scientific corrections that sheets 08–13 apply.</x:v>
      </x:c>
      <x:c r="C3" s="21" t="str">
        <x:v>The original workbook remains intact in sheets 00–07. This sheet documents the scientific corrections that sheets 08–13 apply.</x:v>
      </x:c>
      <x:c r="D3" s="21" t="str">
        <x:v>The original workbook remains intact in sheets 00–07. This sheet documents the scientific corrections that sheets 08–13 apply.</x:v>
      </x:c>
      <x:c r="E3" s="21" t="str">
        <x:v>The original workbook remains intact in sheets 00–07. This sheet documents the scientific corrections that sheets 08–13 apply.</x:v>
      </x:c>
    </x:row>
    <x:row r="4" ht="34" customHeight="1">
      <x:c r="A4" s="41" t="str">
        <x:v>Change</x:v>
      </x:c>
      <x:c r="B4" s="41" t="str">
        <x:v>Topic</x:v>
      </x:c>
      <x:c r="C4" s="41" t="str">
        <x:v>Previous proposal</x:v>
      </x:c>
      <x:c r="D4" s="41" t="str">
        <x:v>Final decision</x:v>
      </x:c>
      <x:c r="E4" s="41" t="str">
        <x:v>Reason</x:v>
      </x:c>
    </x:row>
    <x:row r="5">
      <x:c r="A5" s="36" t="str">
        <x:v>C1</x:v>
      </x:c>
      <x:c r="B5" s="34" t="str">
        <x:v>Unit of inference</x:v>
      </x:c>
      <x:c r="C5" s="34" t="str">
        <x:v>26 item-like game scores</x:v>
      </x:c>
      <x:c r="D5" s="34" t="str">
        <x:v>Six construct/facet models; item-owned components retained for traceability and exploratory diagnostics</x:v>
      </x:c>
      <x:c r="E5" s="34" t="str">
        <x:v>Original scales are hierarchical/multidimensional; item-level storification convergence is often poor.</x:v>
      </x:c>
    </x:row>
    <x:row r="6">
      <x:c r="A6" s="37" t="str">
        <x:v>C2</x:v>
      </x:c>
      <x:c r="B6" s="35" t="str">
        <x:v>BESSI source</x:v>
      </x:c>
      <x:c r="C6" s="35" t="str">
        <x:v>Six items described generically as BESSI</x:v>
      </x:c>
      <x:c r="D6" s="35" t="str">
        <x:v>Identify them as the full six-item BESSI-192 Information Processing facet</x:v>
      </x:c>
      <x:c r="E6" s="35" t="str">
        <x:v>Uploaded BESSI short-form paper directly retains only three selected items in the 96-item form.</x:v>
      </x:c>
    </x:row>
    <x:row r="7">
      <x:c r="A7" s="36" t="str">
        <x:v>C3</x:v>
      </x:c>
      <x:c r="B7" s="34" t="str">
        <x:v>M08</x:v>
      </x:c>
      <x:c r="C7" s="34" t="str">
        <x:v>Primary optional-work analogue</x:v>
      </x:c>
      <x:c r="D7" s="34" t="str">
        <x:v>Questionnaire-primary; optional work is secondary telemetry</x:v>
      </x:c>
      <x:c r="E7" s="34" t="str">
        <x:v>Broad/moralized item is highly confounded by fatigue, boredom and task meaning.</x:v>
      </x:c>
    </x:row>
    <x:row r="8">
      <x:c r="A8" s="37" t="str">
        <x:v>C4</x:v>
      </x:c>
      <x:c r="B8" s="35" t="str">
        <x:v>M11</x:v>
      </x:c>
      <x:c r="C8" s="35" t="str">
        <x:v>Primary sample-seal lapse</x:v>
      </x:c>
      <x:c r="D8" s="35" t="str">
        <x:v>Questionnaire-primary; seal behavior remains secondary</x:v>
      </x:c>
      <x:c r="E8" s="35" t="str">
        <x:v>One safety/compliance act is too narrow and situationally strong for broad irresponsibility.</x:v>
      </x:c>
    </x:row>
    <x:row r="9">
      <x:c r="A9" s="36" t="str">
        <x:v>C5</x:v>
      </x:c>
      <x:c r="B9" s="34" t="str">
        <x:v>M25</x:v>
      </x:c>
      <x:c r="C9" s="34" t="str">
        <x:v>Game-only unchanged-command repetition</x:v>
      </x:c>
      <x:c r="D9" s="34" t="str">
        <x:v>Questionnaire-primary / hybrid direct belief probe</x:v>
      </x:c>
      <x:c r="E9" s="34" t="str">
        <x:v>The source item contains an unobservable belief clause; repetition alone cannot warrant it.</x:v>
      </x:c>
    </x:row>
    <x:row r="10">
      <x:c r="A10" s="37" t="str">
        <x:v>C6</x:v>
      </x:c>
      <x:c r="B10" s="35" t="str">
        <x:v>M23 mechanic</x:v>
      </x:c>
      <x:c r="C10" s="35" t="str">
        <x:v>Another pseudo-command debugging task</x:v>
      </x:c>
      <x:c r="D10" s="35" t="str">
        <x:v>Bounded scanner-guided excavation using C/D actions</x:v>
      </x:c>
      <x:c r="E10" s="35" t="str">
        <x:v>Diversifies method, reduces repeated console burden and uses truthful adaptive feedback.</x:v>
      </x:c>
    </x:row>
    <x:row r="11">
      <x:c r="A11" s="36" t="str">
        <x:v>C7</x:v>
      </x:c>
      <x:c r="B11" s="34" t="str">
        <x:v>M02 mechanic</x:v>
      </x:c>
      <x:c r="C11" s="34" t="str">
        <x:v>Correct filing/bin placement</x:v>
      </x:c>
      <x:c r="D11" s="34" t="str">
        <x:v>Functional open-workspace organization followed by retrieval</x:v>
      </x:c>
      <x:c r="E11" s="34" t="str">
        <x:v>Organization is not equivalent to knowing the designer's categories.</x:v>
      </x:c>
    </x:row>
    <x:row r="12">
      <x:c r="A12" s="37" t="str">
        <x:v>C8</x:v>
      </x:c>
      <x:c r="B12" s="35" t="str">
        <x:v>M12 occasions</x:v>
      </x:c>
      <x:c r="C12" s="35" t="str">
        <x:v>One quality-control error</x:v>
      </x:c>
      <x:c r="D12" s="35" t="str">
        <x:v>Two matched independent QC errors</x:v>
      </x:c>
      <x:c r="E12" s="35" t="str">
        <x:v>Single acts are narrow; aggregation improves defensibility.</x:v>
      </x:c>
    </x:row>
    <x:row r="13">
      <x:c r="A13" s="36" t="str">
        <x:v>C9</x:v>
      </x:c>
      <x:c r="B13" s="34" t="str">
        <x:v>Utility/Core</x:v>
      </x:c>
      <x:c r="C13" s="34" t="str">
        <x:v>Potential extra scoring surface</x:v>
      </x:c>
      <x:c r="D13" s="34" t="str">
        <x:v>Non-scored 75-second physical closure</x:v>
      </x:c>
      <x:c r="E13" s="34" t="str">
        <x:v>Prevents construct stuffing and provides professional narrative payoff.</x:v>
      </x:c>
    </x:row>
    <x:row r="14">
      <x:c r="A14" s="37" t="str">
        <x:v>C10</x:v>
      </x:c>
      <x:c r="B14" s="35" t="str">
        <x:v>Timing</x:v>
      </x:c>
      <x:c r="C14" s="35" t="str">
        <x:v>25:20 planning estimate treated as sufficient</x:v>
      </x:c>
      <x:c r="D14" s="35" t="str">
        <x:v>1,535-second planned route plus 265-second buffer; human median/p90 gate</x:v>
      </x:c>
      <x:c r="E14" s="35" t="str">
        <x:v>The current pilot already approaches the ceiling; estimates cannot replace human timing.</x:v>
      </x:c>
    </x:row>
  </x:sheetData>
  <x:mergeCells>
    <x:mergeCell ref="A1:E1"/>
    <x:mergeCell ref="A2:E3"/>
  </x:mergeCells>
  <x:pageMargins left="0.7" right="0.7" top="0.75" bottom="0.75" header="0.3" footer="0.3"/>
</x:worksheet>
</file>